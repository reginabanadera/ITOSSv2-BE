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-120" yWindow="-120" windowWidth="29040" windowHeight="15720"/>
  </bookViews>
  <sheets>
    <sheet name="UFS" sheetId="4" r:id="rId1"/>
    <sheet name="Time Zone" sheetId="15" r:id="rId2"/>
    <sheet name="UFS_Security" sheetId="13" r:id="rId3"/>
    <sheet name="UFS+_Security" sheetId="14" r:id="rId4"/>
    <sheet name="UWS2.0" sheetId="11" r:id="rId5"/>
    <sheet name="UWS2.0 Role" sheetId="9" r:id="rId6"/>
    <sheet name="Time Zone List" sheetId="12" state="hidden" r:id="rId7"/>
    <sheet name="User Type" sheetId="10" state="hidden" r:id="rId8"/>
    <sheet name="Sheet1" sheetId="7" state="hidden" r:id="rId9"/>
  </sheets>
  <externalReferences>
    <externalReference r:id="rId10"/>
  </externalReferences>
  <definedNames>
    <definedName name="_xlnm._FilterDatabase" localSheetId="1" hidden="1">'Time Zone'!$A$1:$B$1</definedName>
    <definedName name="actuate">Sheet1!$I$19:$I$20</definedName>
    <definedName name="class">Sheet1!$F$5:$F$8</definedName>
    <definedName name="cubic_meter">#REF!</definedName>
    <definedName name="environment">Sheet1!$I$11:$I$15</definedName>
    <definedName name="Measure">Sheet1!$L$5:$L$12</definedName>
    <definedName name="measureuom">#REF!</definedName>
    <definedName name="request">Sheet1!$I$5:$I$7</definedName>
    <definedName name="security">Sheet1!$C$5:$C$7</definedName>
    <definedName name="status">Sheet1!$F$12:$F$14</definedName>
    <definedName name="uom">[1]Sheet1Create!$X$48:$X$56</definedName>
    <definedName name="user_type">'User Type'!$A$1:$A$3</definedName>
    <definedName name="volume">UFS!#REF!</definedName>
    <definedName name="Weight">Sheet1!$J$5:$J$13</definedName>
    <definedName name="weightuo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" i="4" l="1"/>
  <c r="AI6" i="4"/>
  <c r="AH6" i="4"/>
  <c r="U4" i="11"/>
  <c r="T4" i="11"/>
  <c r="S4" i="11"/>
  <c r="R4" i="11" s="1"/>
  <c r="AG6" i="4" l="1"/>
</calcChain>
</file>

<file path=xl/comments1.xml><?xml version="1.0" encoding="utf-8"?>
<comments xmlns="http://schemas.openxmlformats.org/spreadsheetml/2006/main">
  <authors>
    <author>Administrator</author>
  </authors>
  <commentList>
    <comment ref="K9" authorId="0">
      <text>
        <r>
          <rPr>
            <sz val="11"/>
            <color indexed="81"/>
            <rFont val="Arial"/>
            <family val="2"/>
          </rPr>
          <t>Refer to 
Time Zone sheet for more info.</t>
        </r>
      </text>
    </comment>
    <comment ref="P9" authorId="0">
      <text>
        <r>
          <rPr>
            <sz val="9"/>
            <color indexed="81"/>
            <rFont val="Arial"/>
            <family val="2"/>
          </rPr>
          <t>the ability to issue CCN over 30 days as well as void invoice over 30 days.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Hitoo Ban</author>
  </authors>
  <commentList>
    <comment ref="G22" authorId="0">
      <text>
        <r>
          <rPr>
            <b/>
            <sz val="9"/>
            <color indexed="81"/>
            <rFont val="Tahoma"/>
            <family val="2"/>
          </rPr>
          <t>Peter wants to have the function CPC
--&gt; CIT decided NO due to the fact that a CPM may modify the Script which used by other country accidentaly.</t>
        </r>
      </text>
    </comment>
    <comment ref="K28" authorId="0">
      <text>
        <r>
          <rPr>
            <b/>
            <sz val="9"/>
            <color indexed="81"/>
            <rFont val="Tahoma"/>
            <family val="2"/>
          </rPr>
          <t xml:space="preserve">April 28th
Change No --&gt; Yes
since JP Exp Dept is YES now
--&gt;Change back to NO.
There is no Active under level2
</t>
        </r>
      </text>
    </comment>
    <comment ref="K31" authorId="0">
      <text>
        <r>
          <rPr>
            <b/>
            <sz val="9"/>
            <color indexed="81"/>
            <rFont val="Tahoma"/>
            <family val="2"/>
          </rPr>
          <t>Change No to Yes
on April 24</t>
        </r>
      </text>
    </comment>
    <comment ref="K32" authorId="0">
      <text>
        <r>
          <rPr>
            <sz val="11"/>
            <rFont val="ＭＳ Ｐゴシック"/>
            <family val="3"/>
            <charset val="128"/>
          </rPr>
          <t>Change No to No
on April 30</t>
        </r>
      </text>
    </comment>
    <comment ref="K37" authorId="0">
      <text>
        <r>
          <rPr>
            <sz val="11"/>
            <rFont val="ＭＳ Ｐゴシック"/>
            <family val="3"/>
            <charset val="128"/>
          </rPr>
          <t>Change to No
since HK User does not create Seq Number
on May2nd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M6" authorId="0">
      <text>
        <r>
          <rPr>
            <sz val="11"/>
            <color indexed="81"/>
            <rFont val="Arial"/>
            <family val="2"/>
          </rPr>
          <t>Refer to 
Time Zone sheet for more info.</t>
        </r>
      </text>
    </comment>
  </commentList>
</comments>
</file>

<file path=xl/sharedStrings.xml><?xml version="1.0" encoding="utf-8"?>
<sst xmlns="http://schemas.openxmlformats.org/spreadsheetml/2006/main" count="1743" uniqueCount="638">
  <si>
    <t xml:space="preserve">Form Type: M - 03 Login User ID </t>
    <phoneticPr fontId="1"/>
  </si>
  <si>
    <t>Serial No: 0000004</t>
    <phoneticPr fontId="1"/>
  </si>
  <si>
    <t>Application Form</t>
    <phoneticPr fontId="1"/>
  </si>
  <si>
    <r>
      <rPr>
        <b/>
        <sz val="14"/>
        <color rgb="FF000000"/>
        <rFont val="Arial"/>
        <family val="2"/>
      </rPr>
      <t xml:space="preserve">In case of </t>
    </r>
    <r>
      <rPr>
        <b/>
        <sz val="14"/>
        <color rgb="FFFF0000"/>
        <rFont val="Arial"/>
        <family val="2"/>
      </rPr>
      <t>update request</t>
    </r>
    <r>
      <rPr>
        <b/>
        <sz val="14"/>
        <color rgb="FF000000"/>
        <rFont val="Arial"/>
        <family val="2"/>
      </rPr>
      <t xml:space="preserve">, please write correction details </t>
    </r>
    <r>
      <rPr>
        <b/>
        <sz val="14"/>
        <color rgb="FFFF0000"/>
        <rFont val="Arial"/>
        <family val="2"/>
      </rPr>
      <t>in the comment (Q column).</t>
    </r>
    <phoneticPr fontId="1"/>
  </si>
  <si>
    <t>Status</t>
    <phoneticPr fontId="1"/>
  </si>
  <si>
    <r>
      <rPr>
        <b/>
        <sz val="14"/>
        <color rgb="FF000000"/>
        <rFont val="Arial"/>
        <family val="2"/>
      </rPr>
      <t xml:space="preserve">Once terminated your UFS/UFS+ IDs, you </t>
    </r>
    <r>
      <rPr>
        <b/>
        <sz val="14"/>
        <color rgb="FFFF0000"/>
        <rFont val="Arial"/>
        <family val="2"/>
      </rPr>
      <t>cannot reactivate</t>
    </r>
    <r>
      <rPr>
        <b/>
        <sz val="14"/>
        <color rgb="FF000000"/>
        <rFont val="Arial"/>
        <family val="2"/>
      </rPr>
      <t xml:space="preserve"> it.</t>
    </r>
  </si>
  <si>
    <t>Request</t>
    <phoneticPr fontId="1"/>
  </si>
  <si>
    <t>Processed</t>
    <phoneticPr fontId="1"/>
  </si>
  <si>
    <t>On Hold</t>
    <phoneticPr fontId="1"/>
  </si>
  <si>
    <t>Reject</t>
    <phoneticPr fontId="1"/>
  </si>
  <si>
    <t>If you want to use UFS/UFS+ again, a new Employee ID and Request Form will be required.</t>
    <phoneticPr fontId="1"/>
  </si>
  <si>
    <t>(If you know your previous UFS IDs, please provide them in the comment.)</t>
    <phoneticPr fontId="1"/>
  </si>
  <si>
    <t>No</t>
    <phoneticPr fontId="1"/>
  </si>
  <si>
    <t>Login Environment</t>
    <phoneticPr fontId="1"/>
  </si>
  <si>
    <t>UFS ID</t>
    <phoneticPr fontId="1"/>
  </si>
  <si>
    <t>First Name</t>
    <phoneticPr fontId="1"/>
  </si>
  <si>
    <t>Last Name</t>
    <phoneticPr fontId="1"/>
  </si>
  <si>
    <t>Partner ID
(Terminal 
ID)</t>
    <phoneticPr fontId="1"/>
  </si>
  <si>
    <t>Department
(If applicable)</t>
    <phoneticPr fontId="1"/>
  </si>
  <si>
    <t>Employee ID</t>
    <phoneticPr fontId="1"/>
  </si>
  <si>
    <t>Email Address</t>
    <phoneticPr fontId="1"/>
  </si>
  <si>
    <t>Time 
Zone</t>
    <phoneticPr fontId="1"/>
  </si>
  <si>
    <t>Security Level</t>
    <phoneticPr fontId="1"/>
  </si>
  <si>
    <t>Reason for Level1</t>
    <phoneticPr fontId="1"/>
  </si>
  <si>
    <t>Actuate 
User Registration</t>
    <phoneticPr fontId="1"/>
  </si>
  <si>
    <t>Report Groups</t>
    <phoneticPr fontId="1"/>
  </si>
  <si>
    <t>High Security User</t>
    <phoneticPr fontId="1"/>
  </si>
  <si>
    <t>Comment</t>
    <phoneticPr fontId="1"/>
  </si>
  <si>
    <t>UOM Defaults</t>
    <phoneticPr fontId="1"/>
  </si>
  <si>
    <t>GPC use only</t>
    <phoneticPr fontId="1"/>
  </si>
  <si>
    <t>None</t>
    <phoneticPr fontId="1"/>
  </si>
  <si>
    <t>Air</t>
    <phoneticPr fontId="1"/>
  </si>
  <si>
    <t>Ocean</t>
    <phoneticPr fontId="1"/>
  </si>
  <si>
    <t>Truck</t>
    <phoneticPr fontId="1"/>
  </si>
  <si>
    <t>Multi/Rail</t>
    <phoneticPr fontId="1"/>
  </si>
  <si>
    <t>Login ID</t>
    <phoneticPr fontId="1"/>
  </si>
  <si>
    <t>Expiry Date</t>
    <phoneticPr fontId="1"/>
  </si>
  <si>
    <t>Weight</t>
    <phoneticPr fontId="1"/>
  </si>
  <si>
    <t>Volume</t>
    <phoneticPr fontId="1"/>
  </si>
  <si>
    <t>Measure</t>
    <phoneticPr fontId="1"/>
  </si>
  <si>
    <t>PH1</t>
  </si>
  <si>
    <t>Time Zone</t>
    <phoneticPr fontId="1"/>
  </si>
  <si>
    <t>Time Zone (UFS Description)</t>
  </si>
  <si>
    <t>HOURS FROM GMT</t>
  </si>
  <si>
    <t>DST OBSERVED</t>
  </si>
  <si>
    <t>AE1</t>
  </si>
  <si>
    <t>United Arab Emirates</t>
  </si>
  <si>
    <t>N</t>
  </si>
  <si>
    <t>BD1</t>
  </si>
  <si>
    <t>Bangladesh</t>
  </si>
  <si>
    <t>BE1</t>
  </si>
  <si>
    <t>Belgium</t>
  </si>
  <si>
    <t>Y</t>
  </si>
  <si>
    <t>BR1</t>
  </si>
  <si>
    <t>Brazil: South Central Coast</t>
  </si>
  <si>
    <t>BR2</t>
  </si>
  <si>
    <t>Brazil: North East Coast</t>
  </si>
  <si>
    <t>BR3</t>
  </si>
  <si>
    <t>Brazil: Amazonas</t>
  </si>
  <si>
    <t>BR4</t>
  </si>
  <si>
    <t>Brazil: Mato Grosso</t>
  </si>
  <si>
    <t>BR5</t>
  </si>
  <si>
    <t>Brazil: Territory of Acre</t>
  </si>
  <si>
    <t>CA1</t>
  </si>
  <si>
    <t>CA Atlantic Standard Time</t>
  </si>
  <si>
    <t>CA2</t>
  </si>
  <si>
    <t>CA Eastern Quebec Atlantic Time</t>
  </si>
  <si>
    <t>CA3</t>
  </si>
  <si>
    <t>CA Eastern Time</t>
  </si>
  <si>
    <t>CA4</t>
  </si>
  <si>
    <t>CA Central Time</t>
  </si>
  <si>
    <t>CA5</t>
  </si>
  <si>
    <t>CA Mountain Time</t>
  </si>
  <si>
    <t>CA6</t>
  </si>
  <si>
    <t>CA Western Ontario</t>
  </si>
  <si>
    <t>CA7</t>
  </si>
  <si>
    <t>CA Saskatchewan</t>
  </si>
  <si>
    <t>CA8</t>
  </si>
  <si>
    <t>CA Pacific Time &amp; Norther territory</t>
  </si>
  <si>
    <t>CA9</t>
  </si>
  <si>
    <t>CA NEW FOUNDLAND TIME ZONE</t>
  </si>
  <si>
    <t>CN1</t>
  </si>
  <si>
    <t>China</t>
  </si>
  <si>
    <t>DE1</t>
  </si>
  <si>
    <t>Germany</t>
  </si>
  <si>
    <t>FR1</t>
  </si>
  <si>
    <t>France</t>
  </si>
  <si>
    <t>GB1</t>
  </si>
  <si>
    <t>United Kingdom</t>
  </si>
  <si>
    <t>HK1</t>
  </si>
  <si>
    <t>Hong Kong</t>
  </si>
  <si>
    <t>ID1</t>
  </si>
  <si>
    <t>Indonesia Central Zone</t>
  </si>
  <si>
    <t>IN1</t>
  </si>
  <si>
    <t>India</t>
  </si>
  <si>
    <t>IT1</t>
  </si>
  <si>
    <t>Italy</t>
  </si>
  <si>
    <t>JP1</t>
  </si>
  <si>
    <t>Japan</t>
  </si>
  <si>
    <t>KH1</t>
  </si>
  <si>
    <t>Cambodia</t>
  </si>
  <si>
    <t>KR1</t>
  </si>
  <si>
    <t>South Korea</t>
  </si>
  <si>
    <t>LU1</t>
  </si>
  <si>
    <t>Luxembourg</t>
  </si>
  <si>
    <t>MX1</t>
  </si>
  <si>
    <t>MX Central Time</t>
  </si>
  <si>
    <t>MY1</t>
  </si>
  <si>
    <t>Malaysia</t>
  </si>
  <si>
    <t>NL1</t>
  </si>
  <si>
    <t>Netherlands</t>
  </si>
  <si>
    <t>Phillipines</t>
  </si>
  <si>
    <t>SG1</t>
  </si>
  <si>
    <t>Singapore</t>
  </si>
  <si>
    <t>TH1</t>
  </si>
  <si>
    <t>Thailand</t>
  </si>
  <si>
    <t>TW1</t>
  </si>
  <si>
    <t>Taiwan</t>
  </si>
  <si>
    <t>US1</t>
  </si>
  <si>
    <t>US Eastern Time</t>
  </si>
  <si>
    <t>US2</t>
  </si>
  <si>
    <t>US Indiana (East)</t>
  </si>
  <si>
    <t>US3</t>
  </si>
  <si>
    <t>US Central Time</t>
  </si>
  <si>
    <t>US4</t>
  </si>
  <si>
    <t>US Mountain Time</t>
  </si>
  <si>
    <t>US5</t>
  </si>
  <si>
    <t>US Arizona</t>
  </si>
  <si>
    <t>US6</t>
  </si>
  <si>
    <t>US Pacific time</t>
  </si>
  <si>
    <t>US7</t>
  </si>
  <si>
    <t>US Alaska</t>
  </si>
  <si>
    <t>US8</t>
  </si>
  <si>
    <t>US Hawaii</t>
  </si>
  <si>
    <t>VN1</t>
  </si>
  <si>
    <t>Vietnam</t>
  </si>
  <si>
    <t>Level1</t>
    <phoneticPr fontId="1"/>
  </si>
  <si>
    <t>Level2</t>
    <phoneticPr fontId="1"/>
  </si>
  <si>
    <t>Level3</t>
    <phoneticPr fontId="1"/>
  </si>
  <si>
    <t>CPM</t>
    <phoneticPr fontId="1"/>
  </si>
  <si>
    <t>CL/SU/SE</t>
    <phoneticPr fontId="1"/>
  </si>
  <si>
    <t>JP SU</t>
    <phoneticPr fontId="1"/>
  </si>
  <si>
    <t xml:space="preserve">Sales </t>
    <phoneticPr fontId="1"/>
  </si>
  <si>
    <t>MD/Director/GM/
Opration Manager</t>
    <phoneticPr fontId="1"/>
  </si>
  <si>
    <t>JP Opration Manager</t>
    <phoneticPr fontId="1"/>
  </si>
  <si>
    <t xml:space="preserve">Lower Opearaion Manager 
Level and Operator level </t>
    <phoneticPr fontId="1"/>
  </si>
  <si>
    <t>Set Up</t>
    <phoneticPr fontId="1"/>
  </si>
  <si>
    <t>Mandatory</t>
    <phoneticPr fontId="1"/>
  </si>
  <si>
    <t>level2 or level3</t>
    <phoneticPr fontId="1"/>
  </si>
  <si>
    <t>GROUPS 
(Priority)</t>
    <phoneticPr fontId="1"/>
  </si>
  <si>
    <r>
      <t xml:space="preserve">GPC_GLOBAL
(1)
</t>
    </r>
    <r>
      <rPr>
        <b/>
        <sz val="10"/>
        <color indexed="12"/>
        <rFont val="Verdana"/>
        <family val="2"/>
      </rPr>
      <t>GPC_GLOBAL_EXTN1</t>
    </r>
    <r>
      <rPr>
        <sz val="10"/>
        <rFont val="Verdana"/>
        <family val="2"/>
      </rPr>
      <t xml:space="preserve">
</t>
    </r>
    <r>
      <rPr>
        <sz val="10"/>
        <color indexed="12"/>
        <rFont val="Verdana"/>
        <family val="2"/>
      </rPr>
      <t>Effective AUG-06</t>
    </r>
    <phoneticPr fontId="1"/>
  </si>
  <si>
    <r>
      <t>US</t>
    </r>
    <r>
      <rPr>
        <sz val="10"/>
        <rFont val="ＭＳ Ｐゴシック"/>
        <family val="3"/>
        <charset val="128"/>
      </rPr>
      <t>、</t>
    </r>
    <r>
      <rPr>
        <sz val="10"/>
        <rFont val="Verdana"/>
        <family val="2"/>
      </rPr>
      <t>CA</t>
    </r>
    <phoneticPr fontId="1"/>
  </si>
  <si>
    <t>CPM_Level_2
(2)</t>
    <phoneticPr fontId="1"/>
  </si>
  <si>
    <r>
      <t xml:space="preserve">CPM_JP_Level_2
(2)
</t>
    </r>
    <r>
      <rPr>
        <sz val="10"/>
        <color indexed="12"/>
        <rFont val="Verdana"/>
        <family val="2"/>
      </rPr>
      <t>Effective JUL-01-07</t>
    </r>
    <phoneticPr fontId="1"/>
  </si>
  <si>
    <t>CPM_Level_3
(3)</t>
    <phoneticPr fontId="1"/>
  </si>
  <si>
    <r>
      <t>US</t>
    </r>
    <r>
      <rPr>
        <sz val="10"/>
        <rFont val="ＭＳ Ｐゴシック"/>
        <family val="3"/>
        <charset val="128"/>
      </rPr>
      <t>、CA</t>
    </r>
    <phoneticPr fontId="1"/>
  </si>
  <si>
    <t>JP Level 3</t>
  </si>
  <si>
    <t>JP Level 3 CCA</t>
  </si>
  <si>
    <t>Global Level</t>
    <phoneticPr fontId="1"/>
  </si>
  <si>
    <t>City Profile</t>
  </si>
  <si>
    <t>Inquiry</t>
    <phoneticPr fontId="1"/>
  </si>
  <si>
    <t>Inquiry</t>
  </si>
  <si>
    <t>Commodity Profile</t>
  </si>
  <si>
    <t>Country Profile</t>
  </si>
  <si>
    <t>Add,Update</t>
    <phoneticPr fontId="1"/>
  </si>
  <si>
    <t>Currency Profile</t>
  </si>
  <si>
    <t>Legacy Customer Profile</t>
  </si>
  <si>
    <t>Master Charge Code Profile</t>
  </si>
  <si>
    <t>No (icon invisible)</t>
    <phoneticPr fontId="1"/>
  </si>
  <si>
    <t>Milestone Evnet Profile</t>
  </si>
  <si>
    <t>Milestone Profile</t>
  </si>
  <si>
    <t>Port Profile</t>
  </si>
  <si>
    <t>Province Profile</t>
  </si>
  <si>
    <t>Reason Code Profile</t>
  </si>
  <si>
    <t>Script Profile</t>
  </si>
  <si>
    <t>Script Variables Profiles</t>
  </si>
  <si>
    <t>Time Zone Profile</t>
  </si>
  <si>
    <t>Carrier Profile</t>
    <phoneticPr fontId="1"/>
  </si>
  <si>
    <t>Code Master Profile</t>
    <phoneticPr fontId="1"/>
  </si>
  <si>
    <t>Company Level</t>
    <phoneticPr fontId="1"/>
  </si>
  <si>
    <t>Area Profile</t>
  </si>
  <si>
    <t>Add,Update,Delete</t>
    <phoneticPr fontId="1"/>
  </si>
  <si>
    <t>Charge &amp; Rate Profile</t>
  </si>
  <si>
    <t>Add,Update,Delete</t>
  </si>
  <si>
    <t>Company Profile</t>
  </si>
  <si>
    <t>Currency Exchange Rate Profile</t>
  </si>
  <si>
    <t>Customer Numbering Profile</t>
  </si>
  <si>
    <t>Customer Profile</t>
  </si>
  <si>
    <t>Add,Update,Delete (4tabs only)</t>
    <phoneticPr fontId="1"/>
  </si>
  <si>
    <t>Add,Update,Delete (4tabs only)</t>
  </si>
  <si>
    <t>Employee Profile</t>
  </si>
  <si>
    <t>Keyword Entry Profile</t>
    <phoneticPr fontId="1"/>
  </si>
  <si>
    <t>Rate Book Profile</t>
  </si>
  <si>
    <t>Resered Numbering Profile</t>
  </si>
  <si>
    <r>
      <t xml:space="preserve">Add,Update,Delete
</t>
    </r>
    <r>
      <rPr>
        <sz val="10"/>
        <rFont val="ＭＳ Ｐゴシック"/>
        <family val="3"/>
        <charset val="128"/>
      </rPr>
      <t>→</t>
    </r>
    <r>
      <rPr>
        <sz val="10"/>
        <rFont val="Verdana"/>
        <family val="2"/>
      </rPr>
      <t>Inquiry</t>
    </r>
    <r>
      <rPr>
        <sz val="10"/>
        <rFont val="ＭＳ Ｐゴシック"/>
        <family val="3"/>
        <charset val="128"/>
      </rPr>
      <t>（</t>
    </r>
    <r>
      <rPr>
        <sz val="10"/>
        <rFont val="Verdana"/>
        <family val="2"/>
      </rPr>
      <t>01/11/2007</t>
    </r>
    <r>
      <rPr>
        <sz val="10"/>
        <rFont val="ＭＳ Ｐゴシック"/>
        <family val="3"/>
        <charset val="128"/>
      </rPr>
      <t>）</t>
    </r>
    <phoneticPr fontId="1"/>
  </si>
  <si>
    <t>Sequence Numbering Profile</t>
  </si>
  <si>
    <t>Terminal Profile</t>
  </si>
  <si>
    <t>Vendor Profile</t>
  </si>
  <si>
    <t>Zone Profile</t>
  </si>
  <si>
    <r>
      <t xml:space="preserve">Upload Profile
</t>
    </r>
    <r>
      <rPr>
        <sz val="10"/>
        <color rgb="FFFF0000"/>
        <rFont val="Verdana"/>
        <family val="2"/>
      </rPr>
      <t>(LQ Only: MAY-21)</t>
    </r>
    <phoneticPr fontId="1"/>
  </si>
  <si>
    <t>Transactions</t>
    <phoneticPr fontId="1"/>
  </si>
  <si>
    <t>CCA</t>
    <phoneticPr fontId="1"/>
  </si>
  <si>
    <t>No (icon invisible)</t>
  </si>
  <si>
    <t xml:space="preserve">*4Tabs </t>
    <phoneticPr fontId="1"/>
  </si>
  <si>
    <t>Company Tab</t>
    <phoneticPr fontId="1"/>
  </si>
  <si>
    <t>Lane Segment Tab</t>
    <phoneticPr fontId="1"/>
  </si>
  <si>
    <t>Notification Tab</t>
    <phoneticPr fontId="1"/>
  </si>
  <si>
    <t>Statement Tab</t>
    <phoneticPr fontId="1"/>
  </si>
  <si>
    <t>Definition</t>
  </si>
  <si>
    <t>Major Users Role</t>
  </si>
  <si>
    <t>Rule</t>
  </si>
  <si>
    <t>SEC_0</t>
  </si>
  <si>
    <t>GPC</t>
  </si>
  <si>
    <t>No Restrictoin for UFS+ Profile</t>
  </si>
  <si>
    <t>SEC1-1</t>
  </si>
  <si>
    <t>CPM</t>
  </si>
  <si>
    <t>Available to modify Company layer Profile</t>
  </si>
  <si>
    <t>SEC1-2</t>
  </si>
  <si>
    <t>SEC_1-1 + only Script Profile Read/Write</t>
  </si>
  <si>
    <t>SEC2-1</t>
  </si>
  <si>
    <t>Operators</t>
  </si>
  <si>
    <t xml:space="preserve">Available to modify only 2 Profiles (Keyword Entry, Customer Numbering) </t>
  </si>
  <si>
    <t>SEC3-1</t>
  </si>
  <si>
    <t>Available to modify only 1 Profiles (Keyword Entry)</t>
  </si>
  <si>
    <t>New GROUPS in UFS+</t>
  </si>
  <si>
    <t>SEC_1-1</t>
  </si>
  <si>
    <t>SEC_1-2</t>
  </si>
  <si>
    <t>SEC_2-1</t>
  </si>
  <si>
    <t>SEC_3-1</t>
  </si>
  <si>
    <t>Exisiting GROUPS in Legacy UFS</t>
  </si>
  <si>
    <t>CaActGrp
DbCr_Non_V</t>
  </si>
  <si>
    <t>GPC_CRD
GPC_CRD_X1
GPC_CRD_X2
GPC_USA
CPM_SCR</t>
  </si>
  <si>
    <t>n/a</t>
  </si>
  <si>
    <t>CPC_L2
HKCPM_L_2
JP_L2
CPM_L2
JPCPM_L2</t>
  </si>
  <si>
    <t>CPC_L3
CPM_L3
HKCPM_L_3
JPCPM_L3
JPC_L3_CCA</t>
  </si>
  <si>
    <t>Profile Menu / Restriction</t>
  </si>
  <si>
    <t>Visible(=View)</t>
  </si>
  <si>
    <t>Write</t>
  </si>
  <si>
    <t>Yes</t>
  </si>
  <si>
    <t>No</t>
  </si>
  <si>
    <t>Company Level</t>
  </si>
  <si>
    <t>Keyword Entry Profile</t>
  </si>
  <si>
    <t>Reserved Numbering Profile</t>
  </si>
  <si>
    <t>Upload Profile</t>
  </si>
  <si>
    <t>KWE Truck Profile</t>
  </si>
  <si>
    <t>Business Event Profile</t>
  </si>
  <si>
    <t>Login 
Environment</t>
    <phoneticPr fontId="1"/>
  </si>
  <si>
    <t>UWS ID</t>
    <phoneticPr fontId="1"/>
  </si>
  <si>
    <t>User Type</t>
    <phoneticPr fontId="1"/>
  </si>
  <si>
    <t>Partner ID
(Terminal ID)</t>
    <phoneticPr fontId="1"/>
  </si>
  <si>
    <t>Warehouse ID 
(you want to view)</t>
  </si>
  <si>
    <t>Warehouse Name</t>
    <phoneticPr fontId="1"/>
  </si>
  <si>
    <t>Storer ID
(you want to view)</t>
  </si>
  <si>
    <t>Storer Short Name
(you want to view)</t>
  </si>
  <si>
    <t>Role
(Refer to 'UWS2.0 Role' sheet)</t>
    <phoneticPr fontId="1"/>
  </si>
  <si>
    <t>Phone</t>
    <phoneticPr fontId="1"/>
  </si>
  <si>
    <t>E-mail</t>
    <phoneticPr fontId="1"/>
  </si>
  <si>
    <t>ROLE_CODE</t>
  </si>
  <si>
    <t>ROLE_NAME</t>
    <phoneticPr fontId="1"/>
  </si>
  <si>
    <t>CPM
[CPM]</t>
    <phoneticPr fontId="1"/>
  </si>
  <si>
    <t>Warehouse
[WH]</t>
    <phoneticPr fontId="1"/>
  </si>
  <si>
    <t>Warehouse
[WH_LIGHT]</t>
    <phoneticPr fontId="1"/>
  </si>
  <si>
    <t>Sales Office
[SALES]</t>
    <phoneticPr fontId="1"/>
  </si>
  <si>
    <t>Customer for Search
[CUST_SEARCH]</t>
    <phoneticPr fontId="1"/>
  </si>
  <si>
    <t>Customer for order
[CUST_ORD]</t>
    <phoneticPr fontId="1"/>
  </si>
  <si>
    <t>Customer for order and ASN
[CUST_ORD_ASN]</t>
    <phoneticPr fontId="1"/>
  </si>
  <si>
    <t>Customer for Inventory Search Only
[CUST_INV_SEARCH]</t>
    <phoneticPr fontId="1"/>
  </si>
  <si>
    <t>Customer for order ASN and Profile
[CUST_ORD_ASN_Pr]</t>
    <phoneticPr fontId="1"/>
  </si>
  <si>
    <t>&lt;Category&gt;</t>
    <phoneticPr fontId="1"/>
  </si>
  <si>
    <t>Type</t>
    <phoneticPr fontId="1"/>
  </si>
  <si>
    <t>Ability to update profiles except global profile update. And search operation functions</t>
    <phoneticPr fontId="1"/>
  </si>
  <si>
    <t>Ability to use all operation functions and profiles related warehouse.</t>
    <phoneticPr fontId="1"/>
  </si>
  <si>
    <t>Ability to use all operation functions and profiles related warehouse exept the following: Correction, Storer Profile, Warehouse profile, Zone profile.</t>
    <phoneticPr fontId="1"/>
  </si>
  <si>
    <t>Ability to search and upload EC filefor operation functions.</t>
    <phoneticPr fontId="1"/>
  </si>
  <si>
    <t>Ability to search operation functions.</t>
    <phoneticPr fontId="1"/>
  </si>
  <si>
    <t>Ability to search opeartion function. And register and upload EC filefor shipment order.</t>
    <phoneticPr fontId="1"/>
  </si>
  <si>
    <t>Ability to search opeartion function. And register and upload EC filefor shipment order. And create/update ASN.</t>
    <phoneticPr fontId="1"/>
  </si>
  <si>
    <t>Ability to search inventory</t>
    <phoneticPr fontId="1"/>
  </si>
  <si>
    <r>
      <t>Ability to search opeartion function.
And register and upload EC file for shipment order. And create/update ASN. And create/update Profile(Bill Of Material, Commodity</t>
    </r>
    <r>
      <rPr>
        <sz val="10"/>
        <rFont val="Calibri"/>
        <family val="2"/>
      </rPr>
      <t>)</t>
    </r>
    <phoneticPr fontId="1"/>
  </si>
  <si>
    <t>&lt;Accumulate Charge&gt;</t>
    <phoneticPr fontId="1"/>
  </si>
  <si>
    <t>UWS_ACCUMULATE_CHARGE_SEARCH</t>
  </si>
  <si>
    <t>Accumulate Charges Search Access *PR*</t>
  </si>
  <si>
    <t>○</t>
    <phoneticPr fontId="1"/>
  </si>
  <si>
    <t>UWS_ACCUMULATE_CHARGE_UPDATE</t>
  </si>
  <si>
    <t>Accumulate Charges Create/Update Access *PR*</t>
  </si>
  <si>
    <t>&lt;Allocate Process&gt;</t>
    <phoneticPr fontId="1"/>
  </si>
  <si>
    <t>UWS_ALLOCATE</t>
  </si>
  <si>
    <t>Shipment Order Allocate Access *PR*</t>
  </si>
  <si>
    <r>
      <rPr>
        <sz val="10"/>
        <rFont val="ＭＳ Ｐゴシック"/>
        <family val="3"/>
        <charset val="128"/>
      </rPr>
      <t>○</t>
    </r>
  </si>
  <si>
    <t>&lt;Allocation Strategy&gt;</t>
    <phoneticPr fontId="1"/>
  </si>
  <si>
    <t>Global Profile</t>
    <phoneticPr fontId="1"/>
  </si>
  <si>
    <t>UWS_ALLOCATION_SEARCH</t>
  </si>
  <si>
    <t>Allocation Strategy Profile Search Access *PR*</t>
  </si>
  <si>
    <t>UWS_ALLOCATION_UPDATE</t>
  </si>
  <si>
    <t>Allocation Strategy Profile Create/Update Access *PR*</t>
  </si>
  <si>
    <t>&lt;ASN Receipt&gt;</t>
    <phoneticPr fontId="1"/>
  </si>
  <si>
    <t>UWS_ASN_REC_DELETE</t>
  </si>
  <si>
    <t>ASN  Receipt Delete Access *PR*</t>
  </si>
  <si>
    <t>UWS_ASN_REC_SEARCH</t>
  </si>
  <si>
    <t>ASN  Receipt Search Access *PR*</t>
  </si>
  <si>
    <t>UWS_ASN_REC_UPDATE</t>
  </si>
  <si>
    <t>ASN  Receipt  Create/Update Access *PR*</t>
  </si>
  <si>
    <t>&lt;Bill Of Material&gt;</t>
    <phoneticPr fontId="1"/>
  </si>
  <si>
    <t>Profile</t>
    <phoneticPr fontId="1"/>
  </si>
  <si>
    <t>UWS_BOM_SEARCH</t>
  </si>
  <si>
    <t>Access to search Bill Of Materials</t>
  </si>
  <si>
    <t>UWS_BOM_UPDATE</t>
  </si>
  <si>
    <t>Access to update Bill Of Materials</t>
  </si>
  <si>
    <t>&lt;Birt Report&gt;</t>
    <phoneticPr fontId="1"/>
  </si>
  <si>
    <t>Other</t>
    <phoneticPr fontId="1"/>
  </si>
  <si>
    <t>BIRT_ASN_RECEIPT</t>
    <phoneticPr fontId="1"/>
  </si>
  <si>
    <t>Birt Form Print Button Display for ASN Receipt UI</t>
    <phoneticPr fontId="1"/>
  </si>
  <si>
    <t>BIRT_CYCLE_COUNT</t>
    <phoneticPr fontId="1"/>
  </si>
  <si>
    <t>Birt Form Print Button Display for Cycle Count UI</t>
    <phoneticPr fontId="1"/>
  </si>
  <si>
    <t>BIRT_DELIVERY</t>
    <phoneticPr fontId="1"/>
  </si>
  <si>
    <t>Birt Form Print Button Display for Delivery UI</t>
    <phoneticPr fontId="1"/>
  </si>
  <si>
    <t>BIRT_DELIVERY_DETAIL</t>
    <phoneticPr fontId="1"/>
  </si>
  <si>
    <t>Birt Form Print Button Display for Delivery Detail UI</t>
    <phoneticPr fontId="1"/>
  </si>
  <si>
    <t>BIRT_DELIVERY_PACKING</t>
    <phoneticPr fontId="1"/>
  </si>
  <si>
    <t>Birt Form Print Button Display for Delivery Packing UI</t>
    <phoneticPr fontId="1"/>
  </si>
  <si>
    <t>BIRT_MOVE</t>
    <phoneticPr fontId="1"/>
  </si>
  <si>
    <t>Birt Form Print Button Display for Move UI</t>
    <phoneticPr fontId="1"/>
  </si>
  <si>
    <t>BIRT_PICK</t>
    <phoneticPr fontId="1"/>
  </si>
  <si>
    <t>Birt Form Print Button Display for Pick UI</t>
    <phoneticPr fontId="1"/>
  </si>
  <si>
    <t>BIRT_SHIPMENT_ORDER</t>
    <phoneticPr fontId="1"/>
  </si>
  <si>
    <t>Birt Form Print Button Display for Shipment Order UI</t>
    <phoneticPr fontId="1"/>
  </si>
  <si>
    <t>&lt;Cartonization&gt;</t>
    <phoneticPr fontId="1"/>
  </si>
  <si>
    <t>UWS_CARTONIZATION_DELETE</t>
    <phoneticPr fontId="1"/>
  </si>
  <si>
    <t>Cartonization Delete Access</t>
    <phoneticPr fontId="1"/>
  </si>
  <si>
    <t>UWS_CARTONIZATION_SEARCH</t>
    <phoneticPr fontId="1"/>
  </si>
  <si>
    <t>Cartonization Search Access</t>
    <phoneticPr fontId="1"/>
  </si>
  <si>
    <t>UWS_CARTONIZATION_UPDATE</t>
    <phoneticPr fontId="1"/>
  </si>
  <si>
    <t>Cartonization Updare Access</t>
    <phoneticPr fontId="1"/>
  </si>
  <si>
    <t>&lt;Code Master&gt;</t>
    <phoneticPr fontId="1"/>
  </si>
  <si>
    <t>UWS_CODEMASTER_SEARCH</t>
  </si>
  <si>
    <t>Code Master Profile Search Access *PR*</t>
  </si>
  <si>
    <t>UWS_CODEMASTER_UPDATE</t>
  </si>
  <si>
    <t>Code Master Profile Create/Update Access *PR*</t>
  </si>
  <si>
    <t>&lt;Commodity&gt;</t>
    <phoneticPr fontId="1"/>
  </si>
  <si>
    <t>UWS_COMMODITY_SEARCH</t>
  </si>
  <si>
    <t>Commodity Profile Search Access *PR*</t>
  </si>
  <si>
    <r>
      <rPr>
        <sz val="10"/>
        <rFont val="ＭＳ Ｐゴシック"/>
        <family val="3"/>
        <charset val="128"/>
      </rPr>
      <t>○</t>
    </r>
    <phoneticPr fontId="1"/>
  </si>
  <si>
    <t>UWS_COMMODITY_UPDATE</t>
  </si>
  <si>
    <t>Commodity Profile Create/Update Access *PR*</t>
  </si>
  <si>
    <t>&lt;Company&gt;</t>
    <phoneticPr fontId="1"/>
  </si>
  <si>
    <t>UWS_COMPANY_SEARCH</t>
  </si>
  <si>
    <t>Company Profile Search Access *PR*</t>
  </si>
  <si>
    <t>UWS_COMPANY_UPDATE</t>
  </si>
  <si>
    <t>Company Profile Create/Update Access *PR*</t>
  </si>
  <si>
    <t>&lt;Currency&gt;</t>
    <phoneticPr fontId="1"/>
  </si>
  <si>
    <t>UWS_CURRENCY_SEARCH</t>
    <phoneticPr fontId="1"/>
  </si>
  <si>
    <t>Currency Search Access *PR*</t>
    <phoneticPr fontId="1"/>
  </si>
  <si>
    <t>UWS_CURRENCY_UPDATE</t>
    <phoneticPr fontId="1"/>
  </si>
  <si>
    <t>Currency Create/Update Access *PR*</t>
    <phoneticPr fontId="1"/>
  </si>
  <si>
    <t>&lt;Currency Exchange Rate&gt;</t>
    <phoneticPr fontId="1"/>
  </si>
  <si>
    <t>UWS_CURR_EXCHANGE_SEARCH</t>
    <phoneticPr fontId="1"/>
  </si>
  <si>
    <t>Currency Exchange Rate Search Access *PR*</t>
    <phoneticPr fontId="1"/>
  </si>
  <si>
    <t>UWS_CURR_EXCHANGE_UPDATE</t>
    <phoneticPr fontId="1"/>
  </si>
  <si>
    <t>Currency Exchange Rate Create/Update Access *PR*</t>
    <phoneticPr fontId="1"/>
  </si>
  <si>
    <t>&lt;Cycle Class&gt;</t>
    <phoneticPr fontId="1"/>
  </si>
  <si>
    <t>UWS_CYCLE_CLASS_SEARCH</t>
    <phoneticPr fontId="1"/>
  </si>
  <si>
    <t>Cycle Class Profile Search Access *PR*</t>
    <phoneticPr fontId="1"/>
  </si>
  <si>
    <t>UWS_CYCLE_CLASS_UPDATE</t>
    <phoneticPr fontId="1"/>
  </si>
  <si>
    <t>CycleClass Profile Search Access *PR*</t>
    <phoneticPr fontId="1"/>
  </si>
  <si>
    <t>&lt;Cycle Count&gt;</t>
    <phoneticPr fontId="1"/>
  </si>
  <si>
    <t>UWS_CYCLE_COUNT_DELETE</t>
    <phoneticPr fontId="1"/>
  </si>
  <si>
    <t>Cycle Count Delete Access</t>
    <phoneticPr fontId="1"/>
  </si>
  <si>
    <t>UWS_CYCLE_COUNT_SEARCH</t>
    <phoneticPr fontId="1"/>
  </si>
  <si>
    <t>Cycle Count Search Access</t>
    <phoneticPr fontId="1"/>
  </si>
  <si>
    <t>UWS_CYCLE_COUNT_UPDATE</t>
    <phoneticPr fontId="1"/>
  </si>
  <si>
    <t>Cycle Count Update Access</t>
    <phoneticPr fontId="1"/>
  </si>
  <si>
    <t>&lt;Move/Adjust/Transfer&gt;</t>
    <phoneticPr fontId="1"/>
  </si>
  <si>
    <t>UWS_CORRECTIONS_DELETE</t>
  </si>
  <si>
    <t>Correction(Move/Adjust/Transfer) Delete Access *PR*</t>
  </si>
  <si>
    <t>UWS_CORRECTIONS_SEARCH</t>
  </si>
  <si>
    <t>Correction(Move/Adjust/Transfer) Search Access *PR*</t>
  </si>
  <si>
    <t>UWS_CORRECTIONS_UPDATE</t>
  </si>
  <si>
    <t>Correction(Move/Adjust/Transfer) Create/Update Access *PR*</t>
  </si>
  <si>
    <t>&lt;UWS Customer&gt;</t>
    <phoneticPr fontId="1"/>
  </si>
  <si>
    <t>UWS_CUSTOMER_DELETE</t>
  </si>
  <si>
    <t>Customer Profile Delete Access *PR*</t>
  </si>
  <si>
    <t>UWS_CUSTOMER_SEARCH</t>
  </si>
  <si>
    <t>Customer Profile Search Access *PR*</t>
  </si>
  <si>
    <t>UWS_CUSTOMER_UPDATE</t>
  </si>
  <si>
    <t>Customer Profile Create/Update Access *PR*</t>
  </si>
  <si>
    <t>&lt;Delivery&gt;</t>
    <phoneticPr fontId="1"/>
  </si>
  <si>
    <t>UWS_DELIVERY_DELETE</t>
  </si>
  <si>
    <t>Delivery Delete Access *PR*</t>
  </si>
  <si>
    <t>UWS_DELIVERY_SEARCH</t>
  </si>
  <si>
    <t>Delivery Search Access*PR*</t>
  </si>
  <si>
    <t>UWS_DELIVERY_UPDATE</t>
  </si>
  <si>
    <t>Delivery Create/Update Access *PR*</t>
  </si>
  <si>
    <t>&lt;EC&gt;</t>
    <phoneticPr fontId="1"/>
  </si>
  <si>
    <t>UWS_EC_ASN_UPLOAD</t>
  </si>
  <si>
    <t>Electronic Commerce Upload ASN Access *PR*</t>
  </si>
  <si>
    <t>UWS_EC_COMMODITY_UPLOAD</t>
  </si>
  <si>
    <t>Electronic Commerce Upload Commodity Access *PR*</t>
  </si>
  <si>
    <t>UWS_EC_LOCATION_UPLOAD</t>
  </si>
  <si>
    <t>Electronic Commerce Upload Location Access *PR*</t>
  </si>
  <si>
    <t>UWS_EC_RECEIPT_TRANS_UPLOAD</t>
    <phoneticPr fontId="1"/>
  </si>
  <si>
    <t>Electronic Commerce Upload ASN Receipt Transition Access *PR*</t>
    <phoneticPr fontId="1"/>
  </si>
  <si>
    <t>UWS_EC_RECEIPT_UPLOAD</t>
  </si>
  <si>
    <t>Electronic Commerce Upload ASN Receipt Access *PR*</t>
  </si>
  <si>
    <t>UWS_EC_SHIPORDER_UPLOAD</t>
  </si>
  <si>
    <t>Electronic Commerce Upload Shipment Order Access *PR*</t>
  </si>
  <si>
    <t>UWS_EC_SHIP_TO</t>
  </si>
  <si>
    <t>Electronic Commerce Upload Ship To Access *PR*</t>
  </si>
  <si>
    <t>UWS_EC_XDOC_UPLOAD</t>
    <phoneticPr fontId="1"/>
  </si>
  <si>
    <t>Electronic Commerce Upload X-DOC Access *PR*</t>
    <phoneticPr fontId="1"/>
  </si>
  <si>
    <t>&lt;FTP&gt;</t>
    <phoneticPr fontId="1"/>
  </si>
  <si>
    <t>UWS_FTP_PROFILE_SEARCH</t>
    <phoneticPr fontId="1"/>
  </si>
  <si>
    <t>UWS_FTP_PROFILE_UPDATE</t>
    <phoneticPr fontId="1"/>
  </si>
  <si>
    <t>&lt;Generates Billing Events on Demand&gt;</t>
    <phoneticPr fontId="1"/>
  </si>
  <si>
    <t>UWS_RUN_BILLING_ON_DEMAND</t>
  </si>
  <si>
    <t>Run Billing On Demand Access *PR*</t>
  </si>
  <si>
    <t>&lt;Inventory Hold&gt;</t>
    <phoneticPr fontId="1"/>
  </si>
  <si>
    <t>UWS_INVENTORY_HOLD_SEARCH</t>
    <phoneticPr fontId="1"/>
  </si>
  <si>
    <t>Inventory Hold Search Access *PR*</t>
    <phoneticPr fontId="1"/>
  </si>
  <si>
    <t>UWS_INVENTORY_HOLD_UPDATE</t>
    <phoneticPr fontId="1"/>
  </si>
  <si>
    <t>Inventory Hold Update Access *PR*</t>
    <phoneticPr fontId="1"/>
  </si>
  <si>
    <t>&lt;Inventory&gt;</t>
    <phoneticPr fontId="1"/>
  </si>
  <si>
    <t>UWS_INVENTORY_SEARCH</t>
  </si>
  <si>
    <t>Inventory Search Access *PR*</t>
  </si>
  <si>
    <t>&lt;Inventory Transaction&gt;</t>
    <phoneticPr fontId="1"/>
  </si>
  <si>
    <t>UWS_ITRN_SEARCH</t>
  </si>
  <si>
    <t>Inventory Transaction Search Access *PR*</t>
  </si>
  <si>
    <t>&lt;Invoice&gt;</t>
    <phoneticPr fontId="1"/>
  </si>
  <si>
    <t>UWS_INVOICE_SEARCH</t>
  </si>
  <si>
    <t>Invoice Search Access *PR*</t>
  </si>
  <si>
    <t>UWS_INVOICE_UPDATE</t>
  </si>
  <si>
    <t>Invoice Create/Update Access *PR*</t>
  </si>
  <si>
    <t>&lt;Location Type&gt;</t>
    <phoneticPr fontId="1"/>
  </si>
  <si>
    <t>UWS_LOCATIONTYPE_SEARCH</t>
  </si>
  <si>
    <t>Location Type Profile Search Access *PR*</t>
  </si>
  <si>
    <t>UWS_LOCATIONTYPE_UPDATE</t>
  </si>
  <si>
    <t>Location Type Profile Create/Update Access *PR*</t>
  </si>
  <si>
    <t>&lt;Location Move&gt;</t>
    <phoneticPr fontId="1"/>
  </si>
  <si>
    <t>UWS_LOCATION_MOVE</t>
  </si>
  <si>
    <t>Location Move Access *PR*</t>
  </si>
  <si>
    <t>&lt;Location&gt;</t>
    <phoneticPr fontId="1"/>
  </si>
  <si>
    <t>UWS_LOCATION_SEARCH</t>
  </si>
  <si>
    <t>Location Profile Search Access *PR*</t>
  </si>
  <si>
    <t>UWS_LOCATION_UPDATE</t>
  </si>
  <si>
    <t>Location Profile Create/Update Access *PR*</t>
  </si>
  <si>
    <t>&lt;Message&gt;</t>
    <phoneticPr fontId="1"/>
  </si>
  <si>
    <t>UWS_MAINTENANCE</t>
    <phoneticPr fontId="1"/>
  </si>
  <si>
    <t>Maintenance Window Access *PR*</t>
    <phoneticPr fontId="1"/>
  </si>
  <si>
    <t>&lt;Mass Ship&gt;</t>
    <phoneticPr fontId="1"/>
  </si>
  <si>
    <t>UWS_MASS_SHIP_SEARCH</t>
  </si>
  <si>
    <t>Access to search Allocations for Mass Ship</t>
  </si>
  <si>
    <t>UWS_MASS_SHIP_UPDATE</t>
  </si>
  <si>
    <t>Access to mass ship allocations</t>
  </si>
  <si>
    <t>&lt;Mass Unallocate&gt;</t>
    <phoneticPr fontId="1"/>
  </si>
  <si>
    <t>UWS_MASS_UNALLOCATE_SEARCH</t>
  </si>
  <si>
    <t xml:space="preserve">Mass Unallocate Search Access </t>
  </si>
  <si>
    <t>UWS_MASS_UNALLOCATE_UPDATE</t>
  </si>
  <si>
    <t>Mass Unallocate Update Access</t>
  </si>
  <si>
    <t>&lt;Master Charge&gt;</t>
    <phoneticPr fontId="1"/>
  </si>
  <si>
    <t>UWS_MASTER_CHARGE_SEARCH</t>
    <phoneticPr fontId="1"/>
  </si>
  <si>
    <t>Master Charge Search Access *PR*</t>
    <phoneticPr fontId="1"/>
  </si>
  <si>
    <t>UWS_MASTER_CHARGE_UPDATE</t>
    <phoneticPr fontId="1"/>
  </si>
  <si>
    <t>Master Charge Create/Update Access *PR*</t>
    <phoneticPr fontId="1"/>
  </si>
  <si>
    <t>&lt;Miscellaneous Billing Events&gt;</t>
    <phoneticPr fontId="1"/>
  </si>
  <si>
    <t>UWS_MBE_DELETE</t>
    <phoneticPr fontId="1"/>
  </si>
  <si>
    <t>Miscellaneous Billing Events Delete Access *PR*</t>
  </si>
  <si>
    <t>UWS_MBE_SEARCH</t>
    <phoneticPr fontId="1"/>
  </si>
  <si>
    <t>Miscellaneous Billing Events Search Access *PR*</t>
  </si>
  <si>
    <t>UWS_MBE_UPDATE</t>
    <phoneticPr fontId="1"/>
  </si>
  <si>
    <t>Miscellaneous Billing Events Create/Update Access *PR*</t>
  </si>
  <si>
    <t>&lt;Packing&gt;</t>
    <phoneticPr fontId="1"/>
  </si>
  <si>
    <t>UWS_PACKING_DELETE</t>
  </si>
  <si>
    <t>Delivery Packing Delete Access *PR*</t>
  </si>
  <si>
    <t>UWS_PACKING_UPDATE</t>
  </si>
  <si>
    <t>Delivery Packing Create/Update Access *PR*</t>
  </si>
  <si>
    <t>&lt;Pack&gt;</t>
    <phoneticPr fontId="1"/>
  </si>
  <si>
    <t>Global Profile/Profile</t>
    <phoneticPr fontId="1"/>
  </si>
  <si>
    <t>UWS_PACK_DELETE</t>
  </si>
  <si>
    <t>Pack Profile delete  Access *PR*</t>
  </si>
  <si>
    <t>UWS_PACK_SEARCH</t>
  </si>
  <si>
    <t>Pack Profile Search Access *PR*</t>
  </si>
  <si>
    <t>UWS_PACK_UPDATE</t>
  </si>
  <si>
    <t>Pack Profile Create/Update Access *PR*</t>
  </si>
  <si>
    <t>&lt;Pick&gt;</t>
    <phoneticPr fontId="1"/>
  </si>
  <si>
    <t>UWS_PICK_SEARCH</t>
  </si>
  <si>
    <t>Pick Search Access *PR*</t>
  </si>
  <si>
    <t>UWS_PICK_UPDATE</t>
  </si>
  <si>
    <t>Pick Create/Update Access *PR*</t>
  </si>
  <si>
    <t>&lt;PO&gt;</t>
    <phoneticPr fontId="1"/>
  </si>
  <si>
    <t>UWS_PO_DELETE</t>
    <phoneticPr fontId="1"/>
  </si>
  <si>
    <t>Purchase Order Delete Access</t>
    <phoneticPr fontId="1"/>
  </si>
  <si>
    <t>UWS_PO_SEARCH</t>
    <phoneticPr fontId="1"/>
  </si>
  <si>
    <t>Purchase Order Search Access</t>
    <phoneticPr fontId="1"/>
  </si>
  <si>
    <t>UWS_PO_UPDATE</t>
    <phoneticPr fontId="1"/>
  </si>
  <si>
    <t>Purchase Order Update Access</t>
    <phoneticPr fontId="1"/>
  </si>
  <si>
    <t>&lt;Rate&gt;</t>
    <phoneticPr fontId="1"/>
  </si>
  <si>
    <t>UWS_RATE_PROFILE_SEARCH</t>
  </si>
  <si>
    <t>Rate Profile Search Access *PR*</t>
    <phoneticPr fontId="1"/>
  </si>
  <si>
    <t>UWS_RATE_PROFILE_UPDATE</t>
  </si>
  <si>
    <t>Rate Profile Create/Update Access *PR*</t>
    <phoneticPr fontId="1"/>
  </si>
  <si>
    <t>&lt;Rate Book&gt;</t>
    <phoneticPr fontId="1"/>
  </si>
  <si>
    <t>UWS_RATE_BOOK_SEARCH</t>
    <phoneticPr fontId="1"/>
  </si>
  <si>
    <t>Rate Book Search Access *PR*</t>
    <phoneticPr fontId="1"/>
  </si>
  <si>
    <t>UWS_RATE_BOOK_UPDATE</t>
    <phoneticPr fontId="1"/>
  </si>
  <si>
    <t>Rate Book Create/Update Access *PR*</t>
    <phoneticPr fontId="1"/>
  </si>
  <si>
    <t>&lt;Resend Notify&gt;</t>
    <phoneticPr fontId="1"/>
  </si>
  <si>
    <t>UWS_RESEND_NOTIFY</t>
  </si>
  <si>
    <t>Resend Notification</t>
  </si>
  <si>
    <t>&lt;Report&gt;</t>
    <phoneticPr fontId="1"/>
  </si>
  <si>
    <t>UWS_PRINTER_FTP_QUEUE_SEARCH</t>
    <phoneticPr fontId="1"/>
  </si>
  <si>
    <t>Printer FTP Queue Search Access</t>
    <phoneticPr fontId="1"/>
  </si>
  <si>
    <t>_PRINTER_FTP_QUEUE_UPDATE</t>
    <phoneticPr fontId="1"/>
  </si>
  <si>
    <t>Printer FTP Queue Update Access</t>
    <phoneticPr fontId="1"/>
  </si>
  <si>
    <t>UWS_PRINTER_PROFILE_SEARCH</t>
    <phoneticPr fontId="1"/>
  </si>
  <si>
    <t>PRINTER Profile Search Access *PR*</t>
    <phoneticPr fontId="1"/>
  </si>
  <si>
    <t>UWS_PRINTER_PROFILE_UPDATE</t>
    <phoneticPr fontId="1"/>
  </si>
  <si>
    <t>PRINTER Profile Update Access *PR*</t>
    <phoneticPr fontId="1"/>
  </si>
  <si>
    <t>&lt;Receie process&gt;</t>
    <phoneticPr fontId="1"/>
  </si>
  <si>
    <t>UWS_RECEIVE</t>
  </si>
  <si>
    <t>ASN  Receipt Receive Access *PR*</t>
  </si>
  <si>
    <t>UWS_REPORT_SEARCH</t>
  </si>
  <si>
    <t>Report Profile Search Access *PR*</t>
  </si>
  <si>
    <t>UWS_REPORT_UPDATE</t>
  </si>
  <si>
    <t>Report Profile Create/Update Access *PR*</t>
  </si>
  <si>
    <t>&lt;Role Group&gt;</t>
    <phoneticPr fontId="1"/>
  </si>
  <si>
    <t>UWS_ROLEGROUP_SEARCH</t>
  </si>
  <si>
    <t>Role Group Profile Search Access *PR*</t>
  </si>
  <si>
    <t>UWS_ROLEGROUP_UPDATE</t>
  </si>
  <si>
    <t>Role Group Profile Create/Update Access *PR*</t>
  </si>
  <si>
    <t>&lt;Serial Search&gt;</t>
    <phoneticPr fontId="1"/>
  </si>
  <si>
    <t>UWS_SERIAL_DELETE</t>
  </si>
  <si>
    <t>Serial delete Access *PR*</t>
  </si>
  <si>
    <t>UWS_SERIAL_SEARCH</t>
  </si>
  <si>
    <t>Serial Search Access *PR*</t>
  </si>
  <si>
    <t>UWS_SERIAL_UPDATE</t>
  </si>
  <si>
    <t>Serial Create/Update Access *PR*</t>
  </si>
  <si>
    <t>&lt;Shipment Order&gt;</t>
    <phoneticPr fontId="1"/>
  </si>
  <si>
    <t>UWS_SHIPMENTORDER_DELETE</t>
  </si>
  <si>
    <t>Shipment Order Delete Access *PR*</t>
  </si>
  <si>
    <t>UWS_SHIPMENTORDER_SEARCH</t>
  </si>
  <si>
    <t>Shipment Order Search Access *PR*</t>
  </si>
  <si>
    <t>UWS_SHIPMENTORDER_SHOWPICK</t>
  </si>
  <si>
    <t>Shipment Order Show Pick Access *PR*</t>
  </si>
  <si>
    <t>UWS_SHIPMENTORDER_UPDATE</t>
  </si>
  <si>
    <t>Shipment Order Create/Update Access *PR*</t>
  </si>
  <si>
    <t>&lt;Stock Movement&gt;</t>
    <phoneticPr fontId="1"/>
  </si>
  <si>
    <t>UWS_STOCK_MOVEMENT_SEARCH</t>
    <phoneticPr fontId="1"/>
  </si>
  <si>
    <t>Stock Movement Search Access *PR*</t>
    <phoneticPr fontId="1"/>
  </si>
  <si>
    <t>&lt;Storer&gt;</t>
    <phoneticPr fontId="1"/>
  </si>
  <si>
    <t>UWS_STORER_SEARCH</t>
  </si>
  <si>
    <t>Storer Profile Search Access *PR*</t>
  </si>
  <si>
    <t>UWS_STORER_UPDATE</t>
  </si>
  <si>
    <t>Storer Profile Create/Update Access *PR*</t>
  </si>
  <si>
    <t>&lt;Terminal&gt;</t>
    <phoneticPr fontId="1"/>
  </si>
  <si>
    <t>UWS_TERMINAL_SEARCH</t>
  </si>
  <si>
    <t>Terminal Profile Search Access *PR*</t>
  </si>
  <si>
    <t>UWS_TERMINAL_UPDATE</t>
  </si>
  <si>
    <t>Terminal Profile Create/Update Access *PR*</t>
  </si>
  <si>
    <t>&lt;Test Ping&gt;</t>
    <phoneticPr fontId="1"/>
  </si>
  <si>
    <t>UWS_TEST_NEW_BRIDGE</t>
    <phoneticPr fontId="1"/>
  </si>
  <si>
    <t>Test New Bridge Interface Access *PR*</t>
    <phoneticPr fontId="1"/>
  </si>
  <si>
    <t>&lt;Unallocate&gt;</t>
    <phoneticPr fontId="1"/>
  </si>
  <si>
    <t>UWS_UNALLOCATE</t>
  </si>
  <si>
    <t>Shipment Order Unallocate Access *PR*</t>
  </si>
  <si>
    <t>&lt;System User&gt;</t>
    <phoneticPr fontId="1"/>
  </si>
  <si>
    <t>UWS_USER_SEARCH</t>
  </si>
  <si>
    <t>SystemUser Profile Search Access *PR*</t>
  </si>
  <si>
    <t>UWS_USER_UPDATE</t>
  </si>
  <si>
    <t>System User Profile Create/Update Access *PR*</t>
  </si>
  <si>
    <t>&lt;Warehouse&gt;</t>
    <phoneticPr fontId="1"/>
  </si>
  <si>
    <t>UWS_WAREHOUSE_SEARCH</t>
  </si>
  <si>
    <t>Warehouse Profile Search Access *PR*</t>
  </si>
  <si>
    <t>UWS_WAREHOUSE_UPDATE</t>
  </si>
  <si>
    <t>Warehouse Profile Create/Update Access *PR*</t>
  </si>
  <si>
    <t>&lt;Warehouse Charge&gt;</t>
    <phoneticPr fontId="1"/>
  </si>
  <si>
    <t>UWS_WH_CHARGE_SEARCH</t>
    <phoneticPr fontId="1"/>
  </si>
  <si>
    <t>Warehouse Charge Search Access *PR*</t>
    <phoneticPr fontId="1"/>
  </si>
  <si>
    <t>UWS_WH_CHARGE_UPDATE</t>
    <phoneticPr fontId="1"/>
  </si>
  <si>
    <t>Warehouse Charge Create/Update Access *PR*</t>
    <phoneticPr fontId="1"/>
  </si>
  <si>
    <t>&lt;Warehouse Storer&gt;</t>
    <phoneticPr fontId="1"/>
  </si>
  <si>
    <t>UWS_WHSTORERGROUP_SEARCH</t>
  </si>
  <si>
    <t>Warehouse Storer Group Profile Search Access *PR*</t>
  </si>
  <si>
    <t>UWS_WHSTORERGROUP_UPDATE</t>
  </si>
  <si>
    <t>Warehouse Storer Group Profile Create/Update Access *PR*</t>
  </si>
  <si>
    <t>&lt;Warehouse Storer Billing Setup&gt;</t>
    <phoneticPr fontId="1"/>
  </si>
  <si>
    <t>UWS_WHS_BILLING_SETUP_SEARCH</t>
  </si>
  <si>
    <t>Warehouse Storer Billing Setup Search Access *PR*</t>
    <phoneticPr fontId="1"/>
  </si>
  <si>
    <t>UWS_WHS_BILLING_SETUP_UPDATE</t>
  </si>
  <si>
    <t>Warehouse Storer Billing Setup Create/Update Access *PR*</t>
    <phoneticPr fontId="1"/>
  </si>
  <si>
    <t>&lt;Warehouse Storer Charge&gt;</t>
    <phoneticPr fontId="1"/>
  </si>
  <si>
    <t>UWS_WHS_CHARGE_SEARCH</t>
    <phoneticPr fontId="1"/>
  </si>
  <si>
    <t>Warehouse Storer Charge Search Access *PR*</t>
    <phoneticPr fontId="1"/>
  </si>
  <si>
    <t>UWS_WHS_CHARGE_UPDATE</t>
    <phoneticPr fontId="1"/>
  </si>
  <si>
    <t>Warehouse Storer Charge Create/Update Access *PR*</t>
    <phoneticPr fontId="1"/>
  </si>
  <si>
    <t>&lt;Zone&gt;</t>
    <phoneticPr fontId="1"/>
  </si>
  <si>
    <t>UWS_ZONE_SEARCH</t>
  </si>
  <si>
    <t>Zone Profile Search Access *PR*</t>
  </si>
  <si>
    <t>UWS_ZONE_UPDATE</t>
  </si>
  <si>
    <t>Zone Profile Create/Update Access *PR*</t>
  </si>
  <si>
    <t>Customer</t>
    <phoneticPr fontId="1"/>
  </si>
  <si>
    <t>KWE User</t>
    <phoneticPr fontId="1"/>
  </si>
  <si>
    <t>Partner</t>
    <phoneticPr fontId="1"/>
  </si>
  <si>
    <t>Please Do NOT Touch</t>
    <phoneticPr fontId="1"/>
  </si>
  <si>
    <t>security</t>
    <phoneticPr fontId="1"/>
  </si>
  <si>
    <t>request</t>
    <phoneticPr fontId="1"/>
  </si>
  <si>
    <t>LEVEL 1</t>
    <phoneticPr fontId="1"/>
  </si>
  <si>
    <t>Active</t>
    <phoneticPr fontId="1"/>
  </si>
  <si>
    <t>Create</t>
    <phoneticPr fontId="1"/>
  </si>
  <si>
    <t>Cubic Meters</t>
    <phoneticPr fontId="1"/>
  </si>
  <si>
    <t>Meters</t>
    <phoneticPr fontId="1"/>
  </si>
  <si>
    <t>LEVEL 2</t>
    <phoneticPr fontId="1"/>
  </si>
  <si>
    <t>SuperUser</t>
    <phoneticPr fontId="1"/>
  </si>
  <si>
    <t>Terminated</t>
    <phoneticPr fontId="1"/>
  </si>
  <si>
    <t>Update</t>
    <phoneticPr fontId="1"/>
  </si>
  <si>
    <t>Cubic Centimeters</t>
    <phoneticPr fontId="1"/>
  </si>
  <si>
    <t>Inches</t>
    <phoneticPr fontId="1"/>
  </si>
  <si>
    <t>LEVEL 3</t>
    <phoneticPr fontId="1"/>
  </si>
  <si>
    <t>Agent</t>
    <phoneticPr fontId="1"/>
  </si>
  <si>
    <t>Pending Approval</t>
    <phoneticPr fontId="1"/>
  </si>
  <si>
    <t>Delete</t>
    <phoneticPr fontId="1"/>
  </si>
  <si>
    <t>Cubic Feet</t>
    <phoneticPr fontId="1"/>
  </si>
  <si>
    <t>Feet</t>
    <phoneticPr fontId="1"/>
  </si>
  <si>
    <t>Hold</t>
    <phoneticPr fontId="1"/>
  </si>
  <si>
    <t>Cubic Inches</t>
    <phoneticPr fontId="1"/>
  </si>
  <si>
    <t>Centimeters</t>
    <phoneticPr fontId="1"/>
  </si>
  <si>
    <t>Temporary</t>
    <phoneticPr fontId="1"/>
  </si>
  <si>
    <t>Kilograms</t>
    <phoneticPr fontId="1"/>
  </si>
  <si>
    <t>environment</t>
    <phoneticPr fontId="1"/>
  </si>
  <si>
    <t>Pounds</t>
    <phoneticPr fontId="1"/>
  </si>
  <si>
    <t>status</t>
    <phoneticPr fontId="1"/>
  </si>
  <si>
    <t>PR</t>
    <phoneticPr fontId="1"/>
  </si>
  <si>
    <t>Long ton</t>
    <phoneticPr fontId="1"/>
  </si>
  <si>
    <t>UAT</t>
    <phoneticPr fontId="1"/>
  </si>
  <si>
    <t>Metric Ton</t>
    <phoneticPr fontId="1"/>
  </si>
  <si>
    <t>Short Ton</t>
    <phoneticPr fontId="1"/>
  </si>
  <si>
    <t>Rejected</t>
    <phoneticPr fontId="1"/>
  </si>
  <si>
    <t>actuate</t>
    <phoneticPr fontId="1"/>
  </si>
  <si>
    <t>Need</t>
    <phoneticPr fontId="1"/>
  </si>
  <si>
    <t>No Need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</si>
</sst>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sz val="12"/>
      <name val="ＭＳ Ｐゴシック"/>
      <family val="3"/>
      <charset val="128"/>
    </font>
    <font>
      <sz val="12"/>
      <name val="Arial"/>
      <family val="2"/>
    </font>
    <font>
      <b/>
      <sz val="12"/>
      <name val="ＭＳ Ｐゴシック"/>
      <family val="3"/>
      <charset val="128"/>
    </font>
    <font>
      <b/>
      <sz val="14"/>
      <name val="Arial"/>
      <family val="2"/>
    </font>
    <font>
      <b/>
      <sz val="20"/>
      <name val="Arial"/>
      <family val="2"/>
    </font>
    <font>
      <sz val="10"/>
      <name val="ＭＳ Ｐゴシック"/>
      <family val="3"/>
      <charset val="128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color rgb="FF242424"/>
      <name val="Arial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0"/>
      <color indexed="12"/>
      <name val="Verdana"/>
      <family val="2"/>
    </font>
    <font>
      <sz val="10"/>
      <color indexed="12"/>
      <name val="Verdana"/>
      <family val="2"/>
    </font>
    <font>
      <sz val="11"/>
      <color indexed="8"/>
      <name val="ＭＳ Ｐゴシック"/>
      <family val="3"/>
      <charset val="128"/>
    </font>
    <font>
      <sz val="10"/>
      <color indexed="8"/>
      <name val="Verdana"/>
      <family val="2"/>
    </font>
    <font>
      <sz val="10"/>
      <color indexed="10"/>
      <name val="Verdana"/>
      <family val="2"/>
    </font>
    <font>
      <sz val="10"/>
      <color rgb="FFFF0000"/>
      <name val="Verdana"/>
      <family val="2"/>
    </font>
    <font>
      <b/>
      <sz val="11"/>
      <name val="ＭＳ Ｐゴシック"/>
      <family val="3"/>
      <charset val="128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MS P ゴシック"/>
      <family val="3"/>
      <charset val="128"/>
    </font>
    <font>
      <sz val="9"/>
      <color indexed="81"/>
      <name val="Arial"/>
      <family val="2"/>
    </font>
    <font>
      <b/>
      <sz val="11"/>
      <name val="Arial"/>
      <family val="2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sz val="8"/>
      <name val="Arial"/>
      <family val="2"/>
    </font>
    <font>
      <sz val="9"/>
      <color theme="1"/>
      <name val="Segoe UI"/>
      <family val="2"/>
      <charset val="1"/>
    </font>
    <font>
      <sz val="11"/>
      <color indexed="81"/>
      <name val="Arial"/>
      <family val="2"/>
    </font>
    <font>
      <u/>
      <sz val="11"/>
      <color theme="1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7" fillId="0" borderId="0"/>
    <xf numFmtId="0" fontId="30" fillId="0" borderId="0"/>
    <xf numFmtId="0" fontId="32" fillId="0" borderId="0" applyNumberFormat="0" applyFill="0" applyBorder="0" applyAlignment="0" applyProtection="0">
      <alignment vertical="center"/>
    </xf>
  </cellStyleXfs>
  <cellXfs count="24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4" borderId="5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>
      <alignment vertical="center"/>
    </xf>
    <xf numFmtId="0" fontId="0" fillId="0" borderId="0" xfId="0" applyAlignment="1">
      <alignment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0" fillId="6" borderId="5" xfId="0" applyFont="1" applyFill="1" applyBorder="1">
      <alignment vertical="center"/>
    </xf>
    <xf numFmtId="0" fontId="10" fillId="6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4" borderId="5" xfId="0" applyFont="1" applyFill="1" applyBorder="1">
      <alignment vertical="center"/>
    </xf>
    <xf numFmtId="0" fontId="9" fillId="5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 vertical="center" wrapText="1"/>
    </xf>
    <xf numFmtId="0" fontId="0" fillId="0" borderId="5" xfId="0" applyBorder="1">
      <alignment vertical="center"/>
    </xf>
    <xf numFmtId="0" fontId="11" fillId="7" borderId="5" xfId="0" applyFont="1" applyFill="1" applyBorder="1">
      <alignment vertical="center"/>
    </xf>
    <xf numFmtId="0" fontId="11" fillId="7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27" xfId="0" applyFont="1" applyBorder="1">
      <alignment vertical="center"/>
    </xf>
    <xf numFmtId="0" fontId="13" fillId="0" borderId="28" xfId="0" applyFont="1" applyBorder="1">
      <alignment vertical="center"/>
    </xf>
    <xf numFmtId="0" fontId="13" fillId="0" borderId="29" xfId="0" applyFont="1" applyBorder="1">
      <alignment vertical="center"/>
    </xf>
    <xf numFmtId="0" fontId="14" fillId="0" borderId="0" xfId="0" applyFont="1">
      <alignment vertical="center"/>
    </xf>
    <xf numFmtId="0" fontId="14" fillId="0" borderId="33" xfId="0" applyFont="1" applyBorder="1">
      <alignment vertical="center"/>
    </xf>
    <xf numFmtId="0" fontId="14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6" xfId="0" applyFont="1" applyBorder="1">
      <alignment vertical="center"/>
    </xf>
    <xf numFmtId="0" fontId="14" fillId="0" borderId="37" xfId="0" applyFont="1" applyBorder="1">
      <alignment vertical="center"/>
    </xf>
    <xf numFmtId="0" fontId="14" fillId="0" borderId="38" xfId="0" applyFont="1" applyBorder="1">
      <alignment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5" borderId="36" xfId="0" applyFont="1" applyFill="1" applyBorder="1">
      <alignment vertical="center"/>
    </xf>
    <xf numFmtId="0" fontId="14" fillId="5" borderId="37" xfId="0" applyFont="1" applyFill="1" applyBorder="1">
      <alignment vertical="center"/>
    </xf>
    <xf numFmtId="0" fontId="14" fillId="5" borderId="38" xfId="0" applyFont="1" applyFill="1" applyBorder="1" applyAlignment="1">
      <alignment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8" fillId="0" borderId="29" xfId="1" applyFont="1" applyBorder="1" applyAlignment="1">
      <alignment wrapText="1"/>
    </xf>
    <xf numFmtId="0" fontId="14" fillId="0" borderId="2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8" fillId="0" borderId="35" xfId="1" applyFont="1" applyBorder="1" applyAlignment="1">
      <alignment wrapText="1"/>
    </xf>
    <xf numFmtId="0" fontId="14" fillId="4" borderId="35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>
      <alignment vertical="center"/>
    </xf>
    <xf numFmtId="0" fontId="14" fillId="0" borderId="40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4" borderId="42" xfId="0" applyFont="1" applyFill="1" applyBorder="1" applyAlignment="1">
      <alignment horizontal="center" vertical="center"/>
    </xf>
    <xf numFmtId="0" fontId="14" fillId="4" borderId="41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9" fillId="4" borderId="35" xfId="0" applyFont="1" applyFill="1" applyBorder="1" applyAlignment="1">
      <alignment horizontal="center" vertical="center"/>
    </xf>
    <xf numFmtId="0" fontId="18" fillId="0" borderId="42" xfId="1" applyFont="1" applyBorder="1" applyAlignment="1">
      <alignment vertical="center" wrapText="1"/>
    </xf>
    <xf numFmtId="0" fontId="18" fillId="0" borderId="40" xfId="1" applyFont="1" applyBorder="1" applyAlignment="1">
      <alignment horizontal="center" vertical="center" wrapText="1"/>
    </xf>
    <xf numFmtId="0" fontId="18" fillId="0" borderId="41" xfId="1" applyFont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textRotation="255"/>
    </xf>
    <xf numFmtId="0" fontId="14" fillId="0" borderId="44" xfId="0" applyFont="1" applyBorder="1" applyAlignment="1">
      <alignment horizontal="center" vertical="center"/>
    </xf>
    <xf numFmtId="0" fontId="18" fillId="0" borderId="45" xfId="1" applyFont="1" applyBorder="1" applyAlignment="1">
      <alignment vertical="center" wrapText="1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8" xfId="0" applyFont="1" applyBorder="1">
      <alignment vertical="center"/>
    </xf>
    <xf numFmtId="0" fontId="14" fillId="0" borderId="0" xfId="0" quotePrefix="1" applyFont="1">
      <alignment vertical="center"/>
    </xf>
    <xf numFmtId="0" fontId="14" fillId="0" borderId="0" xfId="0" applyFont="1" applyAlignment="1">
      <alignment horizontal="left" vertical="center"/>
    </xf>
    <xf numFmtId="0" fontId="21" fillId="10" borderId="5" xfId="0" applyFont="1" applyFill="1" applyBorder="1" applyAlignment="1">
      <alignment horizontal="center" vertical="center"/>
    </xf>
    <xf numFmtId="0" fontId="21" fillId="10" borderId="5" xfId="0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14" fillId="5" borderId="7" xfId="0" applyFont="1" applyFill="1" applyBorder="1">
      <alignment vertical="center"/>
    </xf>
    <xf numFmtId="0" fontId="14" fillId="5" borderId="49" xfId="0" applyFont="1" applyFill="1" applyBorder="1">
      <alignment vertical="center"/>
    </xf>
    <xf numFmtId="0" fontId="14" fillId="11" borderId="45" xfId="0" applyFont="1" applyFill="1" applyBorder="1" applyAlignment="1">
      <alignment vertical="center" wrapText="1"/>
    </xf>
    <xf numFmtId="0" fontId="14" fillId="5" borderId="9" xfId="0" applyFont="1" applyFill="1" applyBorder="1">
      <alignment vertical="center"/>
    </xf>
    <xf numFmtId="0" fontId="14" fillId="5" borderId="52" xfId="0" applyFont="1" applyFill="1" applyBorder="1">
      <alignment vertical="center"/>
    </xf>
    <xf numFmtId="0" fontId="14" fillId="12" borderId="53" xfId="0" applyFont="1" applyFill="1" applyBorder="1" applyAlignment="1">
      <alignment vertical="center" wrapText="1"/>
    </xf>
    <xf numFmtId="0" fontId="14" fillId="5" borderId="10" xfId="0" applyFont="1" applyFill="1" applyBorder="1">
      <alignment vertical="center"/>
    </xf>
    <xf numFmtId="0" fontId="14" fillId="5" borderId="55" xfId="0" applyFont="1" applyFill="1" applyBorder="1">
      <alignment vertical="center"/>
    </xf>
    <xf numFmtId="0" fontId="14" fillId="13" borderId="56" xfId="0" applyFont="1" applyFill="1" applyBorder="1" applyAlignment="1">
      <alignment vertical="center" wrapText="1"/>
    </xf>
    <xf numFmtId="0" fontId="14" fillId="13" borderId="57" xfId="0" applyFont="1" applyFill="1" applyBorder="1" applyAlignment="1">
      <alignment vertical="center" wrapText="1"/>
    </xf>
    <xf numFmtId="0" fontId="14" fillId="13" borderId="37" xfId="0" applyFont="1" applyFill="1" applyBorder="1" applyAlignment="1">
      <alignment vertical="center" wrapText="1"/>
    </xf>
    <xf numFmtId="0" fontId="14" fillId="0" borderId="59" xfId="0" applyFont="1" applyBorder="1" applyAlignment="1">
      <alignment horizontal="center" vertical="center"/>
    </xf>
    <xf numFmtId="0" fontId="18" fillId="0" borderId="31" xfId="1" applyFont="1" applyBorder="1" applyAlignment="1">
      <alignment wrapText="1"/>
    </xf>
    <xf numFmtId="0" fontId="22" fillId="0" borderId="60" xfId="0" applyFont="1" applyBorder="1">
      <alignment vertical="center"/>
    </xf>
    <xf numFmtId="0" fontId="22" fillId="0" borderId="28" xfId="0" applyFont="1" applyBorder="1">
      <alignment vertical="center"/>
    </xf>
    <xf numFmtId="0" fontId="18" fillId="0" borderId="61" xfId="1" applyFont="1" applyBorder="1" applyAlignment="1">
      <alignment wrapText="1"/>
    </xf>
    <xf numFmtId="0" fontId="22" fillId="0" borderId="13" xfId="0" applyFont="1" applyBorder="1">
      <alignment vertical="center"/>
    </xf>
    <xf numFmtId="0" fontId="22" fillId="0" borderId="34" xfId="0" applyFont="1" applyBorder="1">
      <alignment vertical="center"/>
    </xf>
    <xf numFmtId="0" fontId="14" fillId="0" borderId="61" xfId="0" applyFont="1" applyBorder="1">
      <alignment vertical="center"/>
    </xf>
    <xf numFmtId="0" fontId="22" fillId="14" borderId="34" xfId="0" applyFont="1" applyFill="1" applyBorder="1">
      <alignment vertical="center"/>
    </xf>
    <xf numFmtId="0" fontId="18" fillId="0" borderId="62" xfId="1" applyFont="1" applyBorder="1" applyAlignment="1">
      <alignment wrapText="1"/>
    </xf>
    <xf numFmtId="0" fontId="22" fillId="0" borderId="63" xfId="0" applyFont="1" applyBorder="1">
      <alignment vertical="center"/>
    </xf>
    <xf numFmtId="0" fontId="22" fillId="0" borderId="41" xfId="0" applyFont="1" applyBorder="1">
      <alignment vertical="center"/>
    </xf>
    <xf numFmtId="0" fontId="18" fillId="0" borderId="53" xfId="1" applyFont="1" applyBorder="1" applyAlignment="1">
      <alignment wrapText="1"/>
    </xf>
    <xf numFmtId="0" fontId="22" fillId="0" borderId="26" xfId="0" applyFont="1" applyBorder="1">
      <alignment vertical="center"/>
    </xf>
    <xf numFmtId="0" fontId="22" fillId="0" borderId="59" xfId="0" applyFont="1" applyBorder="1">
      <alignment vertical="center"/>
    </xf>
    <xf numFmtId="0" fontId="18" fillId="0" borderId="61" xfId="1" applyFont="1" applyBorder="1" applyAlignment="1">
      <alignment vertical="center" wrapText="1"/>
    </xf>
    <xf numFmtId="0" fontId="22" fillId="0" borderId="53" xfId="0" applyFont="1" applyBorder="1">
      <alignment vertical="center"/>
    </xf>
    <xf numFmtId="0" fontId="14" fillId="9" borderId="33" xfId="0" applyFont="1" applyFill="1" applyBorder="1" applyAlignment="1">
      <alignment horizontal="center" vertical="center" textRotation="255"/>
    </xf>
    <xf numFmtId="0" fontId="14" fillId="14" borderId="61" xfId="0" applyFont="1" applyFill="1" applyBorder="1">
      <alignment vertical="center"/>
    </xf>
    <xf numFmtId="0" fontId="14" fillId="14" borderId="64" xfId="0" applyFont="1" applyFill="1" applyBorder="1">
      <alignment vertical="center"/>
    </xf>
    <xf numFmtId="0" fontId="14" fillId="14" borderId="65" xfId="0" applyFont="1" applyFill="1" applyBorder="1">
      <alignment vertical="center"/>
    </xf>
    <xf numFmtId="0" fontId="14" fillId="9" borderId="40" xfId="0" applyFont="1" applyFill="1" applyBorder="1" applyAlignment="1">
      <alignment horizontal="center" vertical="center" textRotation="255"/>
    </xf>
    <xf numFmtId="0" fontId="14" fillId="14" borderId="62" xfId="0" applyFont="1" applyFill="1" applyBorder="1" applyAlignment="1">
      <alignment horizontal="left" vertical="center"/>
    </xf>
    <xf numFmtId="0" fontId="14" fillId="14" borderId="66" xfId="0" applyFont="1" applyFill="1" applyBorder="1">
      <alignment vertical="center"/>
    </xf>
    <xf numFmtId="0" fontId="14" fillId="14" borderId="67" xfId="0" applyFont="1" applyFill="1" applyBorder="1">
      <alignment vertical="center"/>
    </xf>
    <xf numFmtId="0" fontId="2" fillId="0" borderId="0" xfId="0" applyFont="1">
      <alignment vertical="center"/>
    </xf>
    <xf numFmtId="0" fontId="4" fillId="15" borderId="0" xfId="0" applyFont="1" applyFill="1">
      <alignment vertical="center"/>
    </xf>
    <xf numFmtId="0" fontId="4" fillId="16" borderId="5" xfId="0" applyFont="1" applyFill="1" applyBorder="1">
      <alignment vertical="center"/>
    </xf>
    <xf numFmtId="0" fontId="4" fillId="17" borderId="5" xfId="0" applyFont="1" applyFill="1" applyBorder="1">
      <alignment vertical="center"/>
    </xf>
    <xf numFmtId="0" fontId="22" fillId="0" borderId="0" xfId="0" applyFont="1">
      <alignment vertical="center"/>
    </xf>
    <xf numFmtId="0" fontId="22" fillId="0" borderId="5" xfId="0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>
      <alignment vertical="center"/>
    </xf>
    <xf numFmtId="0" fontId="4" fillId="0" borderId="68" xfId="0" applyFont="1" applyBorder="1">
      <alignment vertical="center"/>
    </xf>
    <xf numFmtId="0" fontId="4" fillId="0" borderId="69" xfId="0" applyFont="1" applyBorder="1">
      <alignment vertical="center"/>
    </xf>
    <xf numFmtId="0" fontId="4" fillId="0" borderId="70" xfId="0" applyFont="1" applyBorder="1">
      <alignment vertical="center"/>
    </xf>
    <xf numFmtId="0" fontId="4" fillId="0" borderId="7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3" xfId="0" applyFont="1" applyBorder="1">
      <alignment vertical="center"/>
    </xf>
    <xf numFmtId="0" fontId="29" fillId="0" borderId="0" xfId="0" applyFont="1">
      <alignment vertical="center"/>
    </xf>
    <xf numFmtId="0" fontId="28" fillId="0" borderId="0" xfId="0" applyFont="1">
      <alignment vertical="center"/>
    </xf>
    <xf numFmtId="0" fontId="26" fillId="18" borderId="5" xfId="0" applyFont="1" applyFill="1" applyBorder="1">
      <alignment vertical="center"/>
    </xf>
    <xf numFmtId="0" fontId="26" fillId="19" borderId="5" xfId="0" applyFont="1" applyFill="1" applyBorder="1">
      <alignment vertical="center"/>
    </xf>
    <xf numFmtId="0" fontId="26" fillId="20" borderId="5" xfId="0" applyFont="1" applyFill="1" applyBorder="1">
      <alignment vertical="center"/>
    </xf>
    <xf numFmtId="0" fontId="26" fillId="21" borderId="5" xfId="0" applyFont="1" applyFill="1" applyBorder="1">
      <alignment vertical="center"/>
    </xf>
    <xf numFmtId="2" fontId="22" fillId="0" borderId="5" xfId="0" applyNumberFormat="1" applyFont="1" applyBorder="1">
      <alignment vertical="center"/>
    </xf>
    <xf numFmtId="0" fontId="18" fillId="22" borderId="61" xfId="1" applyFont="1" applyFill="1" applyBorder="1" applyAlignment="1">
      <alignment wrapText="1"/>
    </xf>
    <xf numFmtId="0" fontId="22" fillId="22" borderId="13" xfId="0" applyFont="1" applyFill="1" applyBorder="1">
      <alignment vertical="center"/>
    </xf>
    <xf numFmtId="0" fontId="22" fillId="22" borderId="34" xfId="0" applyFont="1" applyFill="1" applyBorder="1">
      <alignment vertical="center"/>
    </xf>
    <xf numFmtId="0" fontId="32" fillId="5" borderId="5" xfId="3" applyFill="1" applyBorder="1">
      <alignment vertical="center"/>
    </xf>
    <xf numFmtId="0" fontId="4" fillId="0" borderId="5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4" fontId="13" fillId="0" borderId="32" xfId="0" applyNumberFormat="1" applyFont="1" applyBorder="1" applyAlignment="1">
      <alignment horizontal="center" vertical="center"/>
    </xf>
    <xf numFmtId="14" fontId="13" fillId="0" borderId="31" xfId="0" applyNumberFormat="1" applyFont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 textRotation="255"/>
    </xf>
    <xf numFmtId="0" fontId="14" fillId="8" borderId="33" xfId="0" applyFont="1" applyFill="1" applyBorder="1" applyAlignment="1">
      <alignment horizontal="center" vertical="center" textRotation="255"/>
    </xf>
    <xf numFmtId="0" fontId="14" fillId="8" borderId="40" xfId="0" applyFont="1" applyFill="1" applyBorder="1" applyAlignment="1">
      <alignment horizontal="center" vertical="center" textRotation="255"/>
    </xf>
    <xf numFmtId="0" fontId="14" fillId="9" borderId="27" xfId="0" applyFont="1" applyFill="1" applyBorder="1" applyAlignment="1">
      <alignment horizontal="center" vertical="center" textRotation="255"/>
    </xf>
    <xf numFmtId="0" fontId="14" fillId="9" borderId="33" xfId="0" applyFont="1" applyFill="1" applyBorder="1" applyAlignment="1">
      <alignment horizontal="center" vertical="center" textRotation="255"/>
    </xf>
    <xf numFmtId="0" fontId="14" fillId="9" borderId="40" xfId="0" applyFont="1" applyFill="1" applyBorder="1" applyAlignment="1">
      <alignment horizontal="center" vertical="center" textRotation="255"/>
    </xf>
    <xf numFmtId="0" fontId="0" fillId="0" borderId="5" xfId="0" applyBorder="1" applyAlignment="1">
      <alignment horizontal="left" vertical="center" wrapText="1"/>
    </xf>
    <xf numFmtId="0" fontId="21" fillId="10" borderId="5" xfId="0" applyFont="1" applyFill="1" applyBorder="1" applyAlignment="1">
      <alignment horizontal="center" vertical="center"/>
    </xf>
    <xf numFmtId="0" fontId="14" fillId="11" borderId="50" xfId="0" applyFont="1" applyFill="1" applyBorder="1" applyAlignment="1">
      <alignment horizontal="center" vertical="center" wrapText="1"/>
    </xf>
    <xf numFmtId="0" fontId="14" fillId="11" borderId="51" xfId="0" applyFont="1" applyFill="1" applyBorder="1" applyAlignment="1">
      <alignment horizontal="center" vertical="center" wrapText="1"/>
    </xf>
    <xf numFmtId="0" fontId="14" fillId="12" borderId="54" xfId="0" applyFont="1" applyFill="1" applyBorder="1" applyAlignment="1">
      <alignment horizontal="center" vertical="center" wrapText="1"/>
    </xf>
    <xf numFmtId="0" fontId="14" fillId="12" borderId="53" xfId="0" applyFont="1" applyFill="1" applyBorder="1" applyAlignment="1">
      <alignment horizontal="center" vertical="center" wrapText="1"/>
    </xf>
    <xf numFmtId="0" fontId="14" fillId="8" borderId="58" xfId="0" applyFont="1" applyFill="1" applyBorder="1" applyAlignment="1">
      <alignment horizontal="center" vertical="center" textRotation="255"/>
    </xf>
    <xf numFmtId="0" fontId="14" fillId="9" borderId="58" xfId="0" applyFont="1" applyFill="1" applyBorder="1" applyAlignment="1">
      <alignment horizontal="center" vertical="center" textRotation="255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0" borderId="5" xfId="0" applyFont="1" applyBorder="1">
      <alignment vertical="center"/>
    </xf>
  </cellXfs>
  <cellStyles count="4">
    <cellStyle name="Hyperlink" xfId="3" builtinId="8"/>
    <cellStyle name="Normal" xfId="0" builtinId="0"/>
    <cellStyle name="標準 2" xfId="2"/>
    <cellStyle name="標準_Sheet1" xfId="1"/>
  </cellStyles>
  <dxfs count="3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CC"/>
      <color rgb="FFDAF2D0"/>
      <color rgb="FF83CCE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38101</xdr:colOff>
      <xdr:row>1</xdr:row>
      <xdr:rowOff>25400</xdr:rowOff>
    </xdr:from>
    <xdr:to>
      <xdr:col>12</xdr:col>
      <xdr:colOff>1697565</xdr:colOff>
      <xdr:row>3</xdr:row>
      <xdr:rowOff>120276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xmlns="" id="{51764935-9829-9616-BAB1-96A137A25719}"/>
            </a:ext>
          </a:extLst>
        </xdr:cNvPr>
        <xdr:cNvGrpSpPr/>
      </xdr:nvGrpSpPr>
      <xdr:grpSpPr>
        <a:xfrm>
          <a:off x="12039601" y="215900"/>
          <a:ext cx="2450039" cy="704476"/>
          <a:chOff x="10989734" y="1083734"/>
          <a:chExt cx="2387597" cy="717176"/>
        </a:xfrm>
      </xdr:grpSpPr>
      <xdr:sp macro="" textlink="">
        <xdr:nvSpPr>
          <xdr:cNvPr id="11" name="Rectangle 38">
            <a:extLst>
              <a:ext uri="{FF2B5EF4-FFF2-40B4-BE49-F238E27FC236}">
                <a16:creationId xmlns:a16="http://schemas.microsoft.com/office/drawing/2014/main" xmlns="" id="{64FC7929-572B-47D8-ABDE-7225F7EF7826}"/>
              </a:ext>
            </a:extLst>
          </xdr:cNvPr>
          <xdr:cNvSpPr>
            <a:spLocks noChangeArrowheads="1"/>
          </xdr:cNvSpPr>
        </xdr:nvSpPr>
        <xdr:spPr bwMode="auto">
          <a:xfrm>
            <a:off x="10989734" y="1083734"/>
            <a:ext cx="2336800" cy="71717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xmlns="" id="{DD40D4D4-A2E4-6ADC-8555-86DB6B6DA291}"/>
              </a:ext>
            </a:extLst>
          </xdr:cNvPr>
          <xdr:cNvGrpSpPr/>
        </xdr:nvGrpSpPr>
        <xdr:grpSpPr>
          <a:xfrm>
            <a:off x="11049001" y="1126065"/>
            <a:ext cx="2328330" cy="625039"/>
            <a:chOff x="11065935" y="1117599"/>
            <a:chExt cx="2328330" cy="625039"/>
          </a:xfrm>
        </xdr:grpSpPr>
        <xdr:grpSp>
          <xdr:nvGrpSpPr>
            <xdr:cNvPr id="16" name="グループ化 15">
              <a:extLst>
                <a:ext uri="{FF2B5EF4-FFF2-40B4-BE49-F238E27FC236}">
                  <a16:creationId xmlns:a16="http://schemas.microsoft.com/office/drawing/2014/main" xmlns="" id="{8966D2E1-B550-650A-7992-AF099FE9E076}"/>
                </a:ext>
              </a:extLst>
            </xdr:cNvPr>
            <xdr:cNvGrpSpPr/>
          </xdr:nvGrpSpPr>
          <xdr:grpSpPr>
            <a:xfrm>
              <a:off x="11480798" y="1117599"/>
              <a:ext cx="1913467" cy="609603"/>
              <a:chOff x="11480798" y="1117599"/>
              <a:chExt cx="1913467" cy="609603"/>
            </a:xfrm>
          </xdr:grpSpPr>
          <xdr:sp macro="" textlink="">
            <xdr:nvSpPr>
              <xdr:cNvPr id="7" name="テキスト ボックス 6">
                <a:extLst>
                  <a:ext uri="{FF2B5EF4-FFF2-40B4-BE49-F238E27FC236}">
                    <a16:creationId xmlns:a16="http://schemas.microsoft.com/office/drawing/2014/main" xmlns="" id="{9465691A-4480-4EA7-08D1-5A15566F27E8}"/>
                  </a:ext>
                </a:extLst>
              </xdr:cNvPr>
              <xdr:cNvSpPr txBox="1"/>
            </xdr:nvSpPr>
            <xdr:spPr>
              <a:xfrm>
                <a:off x="11480801" y="1117599"/>
                <a:ext cx="1075266" cy="2539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kumimoji="1" lang="en-US" altLang="ja-JP" sz="1100">
                    <a:latin typeface="Arial" panose="020B0604020202020204" pitchFamily="34" charset="0"/>
                    <a:cs typeface="Arial" panose="020B0604020202020204" pitchFamily="34" charset="0"/>
                  </a:rPr>
                  <a:t>Mandatory</a:t>
                </a:r>
                <a:endParaRPr kumimoji="1" lang="ja-JP" altLang="en-U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8" name="テキスト ボックス 7">
                <a:extLst>
                  <a:ext uri="{FF2B5EF4-FFF2-40B4-BE49-F238E27FC236}">
                    <a16:creationId xmlns:a16="http://schemas.microsoft.com/office/drawing/2014/main" xmlns="" id="{DC2514E5-8C8B-4EE2-A447-81A8C8084351}"/>
                  </a:ext>
                </a:extLst>
              </xdr:cNvPr>
              <xdr:cNvSpPr txBox="1"/>
            </xdr:nvSpPr>
            <xdr:spPr>
              <a:xfrm>
                <a:off x="11480798" y="1329267"/>
                <a:ext cx="1913467" cy="2032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ja-JP" sz="1100" b="0" i="0">
                    <a:solidFill>
                      <a:schemeClr val="dk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Choose one out of the list</a:t>
                </a:r>
                <a:endParaRPr kumimoji="1" lang="ja-JP" altLang="en-U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9" name="テキスト ボックス 8">
                <a:extLst>
                  <a:ext uri="{FF2B5EF4-FFF2-40B4-BE49-F238E27FC236}">
                    <a16:creationId xmlns:a16="http://schemas.microsoft.com/office/drawing/2014/main" xmlns="" id="{41F3CFA0-EBDB-47A5-A4DC-1214664B7022}"/>
                  </a:ext>
                </a:extLst>
              </xdr:cNvPr>
              <xdr:cNvSpPr txBox="1"/>
            </xdr:nvSpPr>
            <xdr:spPr>
              <a:xfrm>
                <a:off x="11480800" y="1540936"/>
                <a:ext cx="1075266" cy="18626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ja-JP" sz="1100" b="0" i="0">
                    <a:solidFill>
                      <a:schemeClr val="dk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Optional item</a:t>
                </a:r>
                <a:endParaRPr kumimoji="1" lang="ja-JP" altLang="en-U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12" name="Group 37">
              <a:extLst>
                <a:ext uri="{FF2B5EF4-FFF2-40B4-BE49-F238E27FC236}">
                  <a16:creationId xmlns:a16="http://schemas.microsoft.com/office/drawing/2014/main" xmlns="" id="{9A488DCB-1AC1-4572-A0A2-562ABB69284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1065935" y="1159933"/>
              <a:ext cx="478488" cy="582705"/>
              <a:chOff x="678" y="23"/>
              <a:chExt cx="61" cy="57"/>
            </a:xfrm>
          </xdr:grpSpPr>
          <xdr:sp macro="" textlink="">
            <xdr:nvSpPr>
              <xdr:cNvPr id="13" name="Rectangle 34">
                <a:extLst>
                  <a:ext uri="{FF2B5EF4-FFF2-40B4-BE49-F238E27FC236}">
                    <a16:creationId xmlns:a16="http://schemas.microsoft.com/office/drawing/2014/main" xmlns="" id="{B68FD12B-191B-A74E-684B-16D158F9446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8" y="23"/>
                <a:ext cx="61" cy="19"/>
              </a:xfrm>
              <a:prstGeom prst="rect">
                <a:avLst/>
              </a:prstGeom>
              <a:solidFill>
                <a:srgbClr val="FF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Rectangle 35">
                <a:extLst>
                  <a:ext uri="{FF2B5EF4-FFF2-40B4-BE49-F238E27FC236}">
                    <a16:creationId xmlns:a16="http://schemas.microsoft.com/office/drawing/2014/main" xmlns="" id="{88551A86-A8BF-9201-CF9F-6FF261D9A37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8" y="42"/>
                <a:ext cx="61" cy="19"/>
              </a:xfrm>
              <a:prstGeom prst="rect">
                <a:avLst/>
              </a:prstGeom>
              <a:solidFill>
                <a:srgbClr val="FFFF9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Rectangle 36">
                <a:extLst>
                  <a:ext uri="{FF2B5EF4-FFF2-40B4-BE49-F238E27FC236}">
                    <a16:creationId xmlns:a16="http://schemas.microsoft.com/office/drawing/2014/main" xmlns="" id="{2044F10A-E28E-9BC3-94D5-19023B6F305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8" y="61"/>
                <a:ext cx="61" cy="19"/>
              </a:xfrm>
              <a:prstGeom prst="rect">
                <a:avLst/>
              </a:prstGeom>
              <a:solidFill>
                <a:srgbClr val="CCFFCC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1</xdr:row>
      <xdr:rowOff>7937</xdr:rowOff>
    </xdr:from>
    <xdr:to>
      <xdr:col>10</xdr:col>
      <xdr:colOff>14285</xdr:colOff>
      <xdr:row>3</xdr:row>
      <xdr:rowOff>105988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xmlns="" id="{ACCEAE2C-7DDE-4C2E-BE16-FC86FE78965E}"/>
            </a:ext>
          </a:extLst>
        </xdr:cNvPr>
        <xdr:cNvGrpSpPr/>
      </xdr:nvGrpSpPr>
      <xdr:grpSpPr>
        <a:xfrm>
          <a:off x="10334626" y="198437"/>
          <a:ext cx="2633659" cy="740989"/>
          <a:chOff x="10989734" y="1083734"/>
          <a:chExt cx="2387597" cy="717176"/>
        </a:xfrm>
      </xdr:grpSpPr>
      <xdr:sp macro="" textlink="">
        <xdr:nvSpPr>
          <xdr:cNvPr id="3" name="Rectangle 38">
            <a:extLst>
              <a:ext uri="{FF2B5EF4-FFF2-40B4-BE49-F238E27FC236}">
                <a16:creationId xmlns:a16="http://schemas.microsoft.com/office/drawing/2014/main" xmlns="" id="{0263827F-B267-FCCD-3360-BB5F2C695F82}"/>
              </a:ext>
            </a:extLst>
          </xdr:cNvPr>
          <xdr:cNvSpPr>
            <a:spLocks noChangeArrowheads="1"/>
          </xdr:cNvSpPr>
        </xdr:nvSpPr>
        <xdr:spPr bwMode="auto">
          <a:xfrm>
            <a:off x="10989734" y="1083734"/>
            <a:ext cx="2336800" cy="71717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xmlns="" id="{B9F327A4-D12E-35CA-D3AB-F56BF4C649AA}"/>
              </a:ext>
            </a:extLst>
          </xdr:cNvPr>
          <xdr:cNvGrpSpPr/>
        </xdr:nvGrpSpPr>
        <xdr:grpSpPr>
          <a:xfrm>
            <a:off x="11049001" y="1126065"/>
            <a:ext cx="2328330" cy="625039"/>
            <a:chOff x="11065935" y="1117599"/>
            <a:chExt cx="2328330" cy="625039"/>
          </a:xfrm>
        </xdr:grpSpPr>
        <xdr:grpSp>
          <xdr:nvGrpSpPr>
            <xdr:cNvPr id="5" name="グループ化 4">
              <a:extLst>
                <a:ext uri="{FF2B5EF4-FFF2-40B4-BE49-F238E27FC236}">
                  <a16:creationId xmlns:a16="http://schemas.microsoft.com/office/drawing/2014/main" xmlns="" id="{372A509E-246C-EF32-1839-BA0088C6F555}"/>
                </a:ext>
              </a:extLst>
            </xdr:cNvPr>
            <xdr:cNvGrpSpPr/>
          </xdr:nvGrpSpPr>
          <xdr:grpSpPr>
            <a:xfrm>
              <a:off x="11480798" y="1117599"/>
              <a:ext cx="1913467" cy="609603"/>
              <a:chOff x="11480798" y="1117599"/>
              <a:chExt cx="1913467" cy="609603"/>
            </a:xfrm>
          </xdr:grpSpPr>
          <xdr:sp macro="" textlink="">
            <xdr:nvSpPr>
              <xdr:cNvPr id="10" name="テキスト ボックス 9">
                <a:extLst>
                  <a:ext uri="{FF2B5EF4-FFF2-40B4-BE49-F238E27FC236}">
                    <a16:creationId xmlns:a16="http://schemas.microsoft.com/office/drawing/2014/main" xmlns="" id="{24B8AEF9-3499-3926-0570-70D6AD46D4EF}"/>
                  </a:ext>
                </a:extLst>
              </xdr:cNvPr>
              <xdr:cNvSpPr txBox="1"/>
            </xdr:nvSpPr>
            <xdr:spPr>
              <a:xfrm>
                <a:off x="11480801" y="1117599"/>
                <a:ext cx="1075266" cy="2539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kumimoji="1" lang="en-US" altLang="ja-JP" sz="1100">
                    <a:latin typeface="Arial" panose="020B0604020202020204" pitchFamily="34" charset="0"/>
                    <a:cs typeface="Arial" panose="020B0604020202020204" pitchFamily="34" charset="0"/>
                  </a:rPr>
                  <a:t>Mandatory</a:t>
                </a:r>
                <a:endParaRPr kumimoji="1" lang="ja-JP" altLang="en-U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11" name="テキスト ボックス 10">
                <a:extLst>
                  <a:ext uri="{FF2B5EF4-FFF2-40B4-BE49-F238E27FC236}">
                    <a16:creationId xmlns:a16="http://schemas.microsoft.com/office/drawing/2014/main" xmlns="" id="{418BE7BF-56AA-9C44-3F6C-0CB1B7D7CB44}"/>
                  </a:ext>
                </a:extLst>
              </xdr:cNvPr>
              <xdr:cNvSpPr txBox="1"/>
            </xdr:nvSpPr>
            <xdr:spPr>
              <a:xfrm>
                <a:off x="11480798" y="1329267"/>
                <a:ext cx="1913467" cy="2032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ja-JP" sz="1100" b="0" i="0">
                    <a:solidFill>
                      <a:schemeClr val="dk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Choose one out of the list</a:t>
                </a:r>
                <a:endParaRPr kumimoji="1" lang="ja-JP" altLang="en-U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12" name="テキスト ボックス 11">
                <a:extLst>
                  <a:ext uri="{FF2B5EF4-FFF2-40B4-BE49-F238E27FC236}">
                    <a16:creationId xmlns:a16="http://schemas.microsoft.com/office/drawing/2014/main" xmlns="" id="{99D0B5AC-720D-93C9-BFD4-3DB597C316BB}"/>
                  </a:ext>
                </a:extLst>
              </xdr:cNvPr>
              <xdr:cNvSpPr txBox="1"/>
            </xdr:nvSpPr>
            <xdr:spPr>
              <a:xfrm>
                <a:off x="11480800" y="1540936"/>
                <a:ext cx="1075266" cy="18626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ja-JP" sz="1100" b="0" i="0">
                    <a:solidFill>
                      <a:schemeClr val="dk1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Optional item</a:t>
                </a:r>
                <a:endParaRPr kumimoji="1" lang="ja-JP" altLang="en-U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6" name="Group 37">
              <a:extLst>
                <a:ext uri="{FF2B5EF4-FFF2-40B4-BE49-F238E27FC236}">
                  <a16:creationId xmlns:a16="http://schemas.microsoft.com/office/drawing/2014/main" xmlns="" id="{46ACD41E-2445-8776-2118-F0482CA58C3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1065935" y="1159933"/>
              <a:ext cx="478488" cy="582705"/>
              <a:chOff x="678" y="23"/>
              <a:chExt cx="61" cy="57"/>
            </a:xfrm>
          </xdr:grpSpPr>
          <xdr:sp macro="" textlink="">
            <xdr:nvSpPr>
              <xdr:cNvPr id="7" name="Rectangle 34">
                <a:extLst>
                  <a:ext uri="{FF2B5EF4-FFF2-40B4-BE49-F238E27FC236}">
                    <a16:creationId xmlns:a16="http://schemas.microsoft.com/office/drawing/2014/main" xmlns="" id="{91DB5F4E-9EBA-7A79-B933-A686801B5E2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8" y="23"/>
                <a:ext cx="61" cy="19"/>
              </a:xfrm>
              <a:prstGeom prst="rect">
                <a:avLst/>
              </a:prstGeom>
              <a:solidFill>
                <a:srgbClr val="FF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Rectangle 35">
                <a:extLst>
                  <a:ext uri="{FF2B5EF4-FFF2-40B4-BE49-F238E27FC236}">
                    <a16:creationId xmlns:a16="http://schemas.microsoft.com/office/drawing/2014/main" xmlns="" id="{5FAC2E6B-2F1D-DF77-70F9-DA313D06574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8" y="42"/>
                <a:ext cx="61" cy="19"/>
              </a:xfrm>
              <a:prstGeom prst="rect">
                <a:avLst/>
              </a:prstGeom>
              <a:solidFill>
                <a:srgbClr val="FFFF99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" name="Rectangle 36">
                <a:extLst>
                  <a:ext uri="{FF2B5EF4-FFF2-40B4-BE49-F238E27FC236}">
                    <a16:creationId xmlns:a16="http://schemas.microsoft.com/office/drawing/2014/main" xmlns="" id="{95072B45-F715-D980-1AEC-E9AF9FA6A4E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8" y="61"/>
                <a:ext cx="61" cy="19"/>
              </a:xfrm>
              <a:prstGeom prst="rect">
                <a:avLst/>
              </a:prstGeom>
              <a:solidFill>
                <a:srgbClr val="CCFFCC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weglobal.sharepoint.com/Documents%20and%20Settings/KWEUSER/My%20Documents/Downloads/UFS%20Login%20User%20ID%20(hito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Create"/>
      <sheetName val="Sheet2 Li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FFC000"/>
  </sheetPr>
  <dimension ref="A1:BE31"/>
  <sheetViews>
    <sheetView tabSelected="1" zoomScaleNormal="100" workbookViewId="0">
      <selection activeCell="G21" sqref="G21"/>
    </sheetView>
  </sheetViews>
  <sheetFormatPr defaultColWidth="9" defaultRowHeight="15"/>
  <cols>
    <col min="1" max="1" width="4.875" style="10" customWidth="1"/>
    <col min="2" max="2" width="10.125" style="161" bestFit="1" customWidth="1"/>
    <col min="3" max="3" width="15" style="10" customWidth="1"/>
    <col min="4" max="4" width="15.375" style="10" customWidth="1"/>
    <col min="5" max="6" width="18.125" style="10" customWidth="1"/>
    <col min="7" max="7" width="14.625" style="10" customWidth="1"/>
    <col min="8" max="8" width="14.375" style="10" customWidth="1"/>
    <col min="9" max="9" width="11.75" style="10" customWidth="1"/>
    <col min="10" max="10" width="27.75" style="10" bestFit="1" customWidth="1"/>
    <col min="11" max="11" width="7.375" style="10" customWidth="1"/>
    <col min="12" max="12" width="10.375" style="10" customWidth="1"/>
    <col min="13" max="13" width="25.375" style="10" customWidth="1"/>
    <col min="14" max="14" width="14.375" style="10" customWidth="1"/>
    <col min="15" max="15" width="30.375" style="10" customWidth="1"/>
    <col min="16" max="16" width="10.75" style="10" customWidth="1"/>
    <col min="17" max="17" width="45.125" style="10" bestFit="1" customWidth="1"/>
    <col min="18" max="18" width="13.375" style="161" bestFit="1" customWidth="1"/>
    <col min="19" max="26" width="13.375" style="10" bestFit="1" customWidth="1"/>
    <col min="27" max="32" width="9" style="10"/>
    <col min="33" max="33" width="10.875" style="10" bestFit="1" customWidth="1"/>
    <col min="34" max="34" width="12.375" style="10" customWidth="1"/>
    <col min="35" max="35" width="11.75" style="10" customWidth="1"/>
    <col min="36" max="36" width="7.375" style="10" bestFit="1" customWidth="1"/>
    <col min="37" max="37" width="11.375" style="10" customWidth="1"/>
    <col min="38" max="65" width="9" style="10"/>
    <col min="66" max="66" width="13.125" style="10" customWidth="1"/>
    <col min="67" max="67" width="11.375" style="10" customWidth="1"/>
    <col min="68" max="16384" width="9" style="10"/>
  </cols>
  <sheetData>
    <row r="1" spans="1:57">
      <c r="A1" s="10" t="s">
        <v>0</v>
      </c>
      <c r="B1" s="10"/>
      <c r="R1" s="10"/>
    </row>
    <row r="2" spans="1:57">
      <c r="A2" s="11" t="s">
        <v>1</v>
      </c>
      <c r="B2" s="10"/>
      <c r="L2" s="144"/>
      <c r="M2" s="144"/>
      <c r="R2" s="10"/>
    </row>
    <row r="3" spans="1:57" ht="33" customHeight="1">
      <c r="A3" s="13" t="s">
        <v>2</v>
      </c>
      <c r="B3" s="10"/>
      <c r="L3" s="144"/>
      <c r="M3" s="144"/>
      <c r="R3" s="10"/>
    </row>
    <row r="4" spans="1:57" ht="18">
      <c r="A4" s="14" t="s">
        <v>3</v>
      </c>
      <c r="B4" s="10"/>
      <c r="L4" s="144"/>
      <c r="M4" s="144"/>
      <c r="R4" s="10"/>
      <c r="AG4" s="150" t="s">
        <v>4</v>
      </c>
      <c r="AH4" s="151"/>
      <c r="AI4" s="151"/>
      <c r="AJ4" s="152"/>
    </row>
    <row r="5" spans="1:57" ht="18">
      <c r="A5" s="14" t="s">
        <v>5</v>
      </c>
      <c r="B5" s="10"/>
      <c r="R5" s="10"/>
      <c r="AG5" s="153" t="s">
        <v>6</v>
      </c>
      <c r="AH5" s="154" t="s">
        <v>7</v>
      </c>
      <c r="AI5" s="155" t="s">
        <v>8</v>
      </c>
      <c r="AJ5" s="156" t="s">
        <v>9</v>
      </c>
    </row>
    <row r="6" spans="1:57" ht="18">
      <c r="A6" s="14" t="s">
        <v>10</v>
      </c>
      <c r="B6" s="10"/>
      <c r="R6" s="10"/>
      <c r="AG6" s="157">
        <f>SUM(AH6:AJ6)</f>
        <v>0</v>
      </c>
      <c r="AH6" s="158">
        <f>COUNTIF(AG12:AG31,"Processed")</f>
        <v>0</v>
      </c>
      <c r="AI6" s="159">
        <f>COUNTIF(AG12:AG31,"On Hold")</f>
        <v>0</v>
      </c>
      <c r="AJ6" s="160">
        <f>COUNTIF(AG12:AG31,"Rejected")</f>
        <v>0</v>
      </c>
    </row>
    <row r="7" spans="1:57" ht="18">
      <c r="A7" s="170" t="s">
        <v>11</v>
      </c>
      <c r="B7" s="10"/>
      <c r="R7" s="10"/>
      <c r="AG7" s="161"/>
      <c r="AH7" s="161"/>
      <c r="AI7" s="162"/>
    </row>
    <row r="8" spans="1:57" ht="15.75">
      <c r="B8" s="10"/>
      <c r="K8" s="169"/>
      <c r="R8" s="10"/>
      <c r="AH8" s="163"/>
      <c r="AI8" s="163"/>
      <c r="AJ8" s="163"/>
      <c r="AK8" s="163"/>
      <c r="AL8" s="163"/>
      <c r="AM8" s="163"/>
    </row>
    <row r="9" spans="1:57" ht="17.25" customHeight="1">
      <c r="A9" s="181" t="s">
        <v>12</v>
      </c>
      <c r="B9" s="181" t="s">
        <v>6</v>
      </c>
      <c r="C9" s="184" t="s">
        <v>13</v>
      </c>
      <c r="D9" s="184" t="s">
        <v>14</v>
      </c>
      <c r="E9" s="181" t="s">
        <v>15</v>
      </c>
      <c r="F9" s="181" t="s">
        <v>16</v>
      </c>
      <c r="G9" s="184" t="s">
        <v>17</v>
      </c>
      <c r="H9" s="189" t="s">
        <v>18</v>
      </c>
      <c r="I9" s="189" t="s">
        <v>19</v>
      </c>
      <c r="J9" s="184" t="s">
        <v>20</v>
      </c>
      <c r="K9" s="184" t="s">
        <v>21</v>
      </c>
      <c r="L9" s="184" t="s">
        <v>22</v>
      </c>
      <c r="M9" s="184" t="s">
        <v>23</v>
      </c>
      <c r="N9" s="184" t="s">
        <v>24</v>
      </c>
      <c r="O9" s="184" t="s">
        <v>25</v>
      </c>
      <c r="P9" s="184" t="s">
        <v>26</v>
      </c>
      <c r="Q9" s="184" t="s">
        <v>27</v>
      </c>
      <c r="R9" s="197" t="s">
        <v>28</v>
      </c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9"/>
      <c r="AG9" s="191" t="s">
        <v>29</v>
      </c>
      <c r="AH9" s="192"/>
      <c r="AI9" s="192"/>
      <c r="AJ9" s="192"/>
      <c r="AK9" s="192"/>
      <c r="AL9" s="193"/>
      <c r="AM9" s="163"/>
    </row>
    <row r="10" spans="1:57" s="161" customFormat="1" ht="15.75" customHeight="1">
      <c r="A10" s="182"/>
      <c r="B10" s="182"/>
      <c r="C10" s="185"/>
      <c r="D10" s="185"/>
      <c r="E10" s="182"/>
      <c r="F10" s="182"/>
      <c r="G10" s="185"/>
      <c r="H10" s="190"/>
      <c r="I10" s="189"/>
      <c r="J10" s="185"/>
      <c r="K10" s="185"/>
      <c r="L10" s="185"/>
      <c r="M10" s="185"/>
      <c r="N10" s="185"/>
      <c r="O10" s="185"/>
      <c r="P10" s="187"/>
      <c r="Q10" s="185"/>
      <c r="R10" s="197" t="s">
        <v>30</v>
      </c>
      <c r="S10" s="198"/>
      <c r="T10" s="199"/>
      <c r="U10" s="200" t="s">
        <v>31</v>
      </c>
      <c r="V10" s="201"/>
      <c r="W10" s="202"/>
      <c r="X10" s="197" t="s">
        <v>32</v>
      </c>
      <c r="Y10" s="198"/>
      <c r="Z10" s="199"/>
      <c r="AA10" s="197" t="s">
        <v>33</v>
      </c>
      <c r="AB10" s="198"/>
      <c r="AC10" s="199"/>
      <c r="AD10" s="197" t="s">
        <v>34</v>
      </c>
      <c r="AE10" s="198"/>
      <c r="AF10" s="199"/>
      <c r="AG10" s="203" t="s">
        <v>4</v>
      </c>
      <c r="AH10" s="203" t="s">
        <v>35</v>
      </c>
      <c r="AI10" s="203" t="s">
        <v>36</v>
      </c>
      <c r="AJ10" s="205" t="s">
        <v>27</v>
      </c>
      <c r="AK10" s="206"/>
      <c r="AL10" s="207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</row>
    <row r="11" spans="1:57" ht="15.75">
      <c r="A11" s="183"/>
      <c r="B11" s="183"/>
      <c r="C11" s="186"/>
      <c r="D11" s="186"/>
      <c r="E11" s="183"/>
      <c r="F11" s="183"/>
      <c r="G11" s="186"/>
      <c r="H11" s="190"/>
      <c r="I11" s="189"/>
      <c r="J11" s="186"/>
      <c r="K11" s="186"/>
      <c r="L11" s="186"/>
      <c r="M11" s="186"/>
      <c r="N11" s="186"/>
      <c r="O11" s="186"/>
      <c r="P11" s="188"/>
      <c r="Q11" s="186"/>
      <c r="R11" s="149" t="s">
        <v>37</v>
      </c>
      <c r="S11" s="149" t="s">
        <v>38</v>
      </c>
      <c r="T11" s="149" t="s">
        <v>39</v>
      </c>
      <c r="U11" s="15" t="s">
        <v>37</v>
      </c>
      <c r="V11" s="149" t="s">
        <v>38</v>
      </c>
      <c r="W11" s="149" t="s">
        <v>39</v>
      </c>
      <c r="X11" s="149" t="s">
        <v>37</v>
      </c>
      <c r="Y11" s="149" t="s">
        <v>38</v>
      </c>
      <c r="Z11" s="149" t="s">
        <v>39</v>
      </c>
      <c r="AA11" s="149" t="s">
        <v>37</v>
      </c>
      <c r="AB11" s="149" t="s">
        <v>38</v>
      </c>
      <c r="AC11" s="149" t="s">
        <v>39</v>
      </c>
      <c r="AD11" s="149" t="s">
        <v>37</v>
      </c>
      <c r="AE11" s="149" t="s">
        <v>38</v>
      </c>
      <c r="AF11" s="149" t="s">
        <v>39</v>
      </c>
      <c r="AG11" s="204"/>
      <c r="AH11" s="204"/>
      <c r="AI11" s="204"/>
      <c r="AJ11" s="208"/>
      <c r="AK11" s="209"/>
      <c r="AL11" s="210"/>
    </row>
    <row r="12" spans="1:57" ht="25.5" customHeight="1">
      <c r="A12" s="2"/>
      <c r="B12" s="12"/>
      <c r="C12" s="12"/>
      <c r="D12" s="145"/>
      <c r="E12" s="16"/>
      <c r="F12" s="16"/>
      <c r="G12" s="17"/>
      <c r="H12" s="145"/>
      <c r="I12" s="17"/>
      <c r="J12" s="179"/>
      <c r="K12" s="146"/>
      <c r="L12" s="146"/>
      <c r="M12" s="145"/>
      <c r="N12" s="12"/>
      <c r="O12" s="145"/>
      <c r="P12" s="12"/>
      <c r="Q12" s="180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3"/>
      <c r="AH12" s="3"/>
      <c r="AI12" s="3"/>
      <c r="AJ12" s="194"/>
      <c r="AK12" s="195"/>
      <c r="AL12" s="196"/>
    </row>
    <row r="13" spans="1:57" ht="19.5" customHeight="1">
      <c r="A13" s="2"/>
      <c r="B13" s="12"/>
      <c r="C13" s="12"/>
      <c r="D13" s="145"/>
      <c r="E13" s="16"/>
      <c r="F13" s="16"/>
      <c r="G13" s="17"/>
      <c r="H13" s="17"/>
      <c r="I13" s="17"/>
      <c r="J13" s="179"/>
      <c r="K13" s="146"/>
      <c r="L13" s="146"/>
      <c r="M13" s="145"/>
      <c r="N13" s="12"/>
      <c r="O13" s="145"/>
      <c r="P13" s="12"/>
      <c r="Q13" s="180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3"/>
      <c r="AH13" s="3"/>
      <c r="AI13" s="3"/>
      <c r="AJ13" s="194"/>
      <c r="AK13" s="195"/>
      <c r="AL13" s="196"/>
    </row>
    <row r="14" spans="1:57" ht="19.5" customHeight="1">
      <c r="A14" s="2"/>
      <c r="B14" s="12"/>
      <c r="C14" s="12"/>
      <c r="D14" s="145"/>
      <c r="E14" s="16"/>
      <c r="F14" s="16"/>
      <c r="G14" s="17"/>
      <c r="H14" s="17"/>
      <c r="I14" s="17"/>
      <c r="J14" s="179"/>
      <c r="K14" s="146"/>
      <c r="L14" s="146"/>
      <c r="M14" s="145"/>
      <c r="N14" s="12"/>
      <c r="O14" s="145"/>
      <c r="P14" s="12"/>
      <c r="Q14" s="180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3"/>
      <c r="AH14" s="3"/>
      <c r="AI14" s="3"/>
      <c r="AJ14" s="194"/>
      <c r="AK14" s="195"/>
      <c r="AL14" s="196"/>
    </row>
    <row r="15" spans="1:57" ht="19.5" customHeight="1">
      <c r="A15" s="2"/>
      <c r="B15" s="12"/>
      <c r="C15" s="12"/>
      <c r="D15" s="145"/>
      <c r="E15" s="16"/>
      <c r="F15" s="16"/>
      <c r="G15" s="17"/>
      <c r="H15" s="17"/>
      <c r="I15" s="17"/>
      <c r="J15" s="179"/>
      <c r="K15" s="146"/>
      <c r="L15" s="146"/>
      <c r="M15" s="145"/>
      <c r="N15" s="12"/>
      <c r="O15" s="145"/>
      <c r="P15" s="12"/>
      <c r="Q15" s="180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3"/>
      <c r="AH15" s="3"/>
      <c r="AI15" s="3"/>
      <c r="AJ15" s="194"/>
      <c r="AK15" s="195"/>
      <c r="AL15" s="196"/>
    </row>
    <row r="16" spans="1:57" ht="19.5" customHeight="1">
      <c r="A16" s="2"/>
      <c r="B16" s="12"/>
      <c r="C16" s="12"/>
      <c r="D16" s="145"/>
      <c r="E16" s="16"/>
      <c r="F16" s="16"/>
      <c r="G16" s="17"/>
      <c r="H16" s="17"/>
      <c r="I16" s="17"/>
      <c r="J16" s="179"/>
      <c r="K16" s="146"/>
      <c r="L16" s="146"/>
      <c r="M16" s="145"/>
      <c r="N16" s="12"/>
      <c r="O16" s="145"/>
      <c r="P16" s="12"/>
      <c r="Q16" s="180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3"/>
      <c r="AH16" s="3"/>
      <c r="AI16" s="3"/>
      <c r="AJ16" s="194"/>
      <c r="AK16" s="195"/>
      <c r="AL16" s="196"/>
    </row>
    <row r="17" spans="1:38" ht="19.5" customHeight="1">
      <c r="A17" s="2"/>
      <c r="B17" s="12"/>
      <c r="C17" s="12"/>
      <c r="D17" s="145"/>
      <c r="E17" s="16"/>
      <c r="F17" s="16"/>
      <c r="G17" s="17"/>
      <c r="H17" s="17"/>
      <c r="I17" s="17"/>
      <c r="J17" s="179"/>
      <c r="K17" s="146"/>
      <c r="L17" s="146"/>
      <c r="M17" s="145"/>
      <c r="N17" s="12"/>
      <c r="O17" s="145"/>
      <c r="P17" s="12"/>
      <c r="Q17" s="180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3"/>
      <c r="AH17" s="3"/>
      <c r="AI17" s="3"/>
      <c r="AJ17" s="194"/>
      <c r="AK17" s="195"/>
      <c r="AL17" s="196"/>
    </row>
    <row r="18" spans="1:38" ht="19.5" customHeight="1">
      <c r="A18" s="2"/>
      <c r="B18" s="12"/>
      <c r="C18" s="12"/>
      <c r="D18" s="145"/>
      <c r="E18" s="16"/>
      <c r="F18" s="16"/>
      <c r="G18" s="17"/>
      <c r="H18" s="17"/>
      <c r="I18" s="17"/>
      <c r="J18" s="179"/>
      <c r="K18" s="146"/>
      <c r="L18" s="146"/>
      <c r="M18" s="145"/>
      <c r="N18" s="12"/>
      <c r="O18" s="145"/>
      <c r="P18" s="12"/>
      <c r="Q18" s="180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3"/>
      <c r="AH18" s="3"/>
      <c r="AI18" s="3"/>
      <c r="AJ18" s="194"/>
      <c r="AK18" s="195"/>
      <c r="AL18" s="196"/>
    </row>
    <row r="19" spans="1:38" ht="19.5" customHeight="1">
      <c r="A19" s="2"/>
      <c r="B19" s="12"/>
      <c r="C19" s="12"/>
      <c r="D19" s="145"/>
      <c r="E19" s="16"/>
      <c r="F19" s="16"/>
      <c r="G19" s="17"/>
      <c r="H19" s="17"/>
      <c r="I19" s="17"/>
      <c r="J19" s="179"/>
      <c r="K19" s="146"/>
      <c r="L19" s="146"/>
      <c r="M19" s="145"/>
      <c r="N19" s="12"/>
      <c r="O19" s="145"/>
      <c r="P19" s="12"/>
      <c r="Q19" s="180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3"/>
      <c r="AH19" s="3"/>
      <c r="AI19" s="3"/>
      <c r="AJ19" s="194"/>
      <c r="AK19" s="195"/>
      <c r="AL19" s="196"/>
    </row>
    <row r="20" spans="1:38" ht="19.5" customHeight="1">
      <c r="A20" s="2"/>
      <c r="B20" s="12"/>
      <c r="C20" s="12"/>
      <c r="D20" s="145"/>
      <c r="E20" s="16"/>
      <c r="F20" s="16"/>
      <c r="G20" s="17"/>
      <c r="H20" s="17"/>
      <c r="I20" s="17"/>
      <c r="J20" s="179"/>
      <c r="K20" s="146"/>
      <c r="L20" s="146"/>
      <c r="M20" s="145"/>
      <c r="N20" s="12"/>
      <c r="O20" s="145"/>
      <c r="P20" s="12"/>
      <c r="Q20" s="180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3"/>
      <c r="AH20" s="3"/>
      <c r="AI20" s="3"/>
      <c r="AJ20" s="194"/>
      <c r="AK20" s="195"/>
      <c r="AL20" s="196"/>
    </row>
    <row r="21" spans="1:38" ht="19.5" customHeight="1">
      <c r="A21" s="2"/>
      <c r="B21" s="12"/>
      <c r="C21" s="12"/>
      <c r="D21" s="145"/>
      <c r="E21" s="16"/>
      <c r="F21" s="16"/>
      <c r="G21" s="17"/>
      <c r="H21" s="17"/>
      <c r="I21" s="17"/>
      <c r="J21" s="179"/>
      <c r="K21" s="146"/>
      <c r="L21" s="146"/>
      <c r="M21" s="145"/>
      <c r="N21" s="12"/>
      <c r="O21" s="145"/>
      <c r="P21" s="12"/>
      <c r="Q21" s="180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3"/>
      <c r="AH21" s="3"/>
      <c r="AI21" s="3"/>
      <c r="AJ21" s="194"/>
      <c r="AK21" s="195"/>
      <c r="AL21" s="196"/>
    </row>
    <row r="22" spans="1:38" ht="19.5" customHeight="1">
      <c r="A22" s="2"/>
      <c r="B22" s="12"/>
      <c r="C22" s="12"/>
      <c r="D22" s="145"/>
      <c r="E22" s="16"/>
      <c r="F22" s="16"/>
      <c r="G22" s="17"/>
      <c r="H22" s="17"/>
      <c r="I22" s="17"/>
      <c r="J22" s="179"/>
      <c r="K22" s="146"/>
      <c r="L22" s="146"/>
      <c r="M22" s="145"/>
      <c r="N22" s="12"/>
      <c r="O22" s="145"/>
      <c r="P22" s="12"/>
      <c r="Q22" s="180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3"/>
      <c r="AH22" s="3"/>
      <c r="AI22" s="3"/>
      <c r="AJ22" s="194"/>
      <c r="AK22" s="195"/>
      <c r="AL22" s="196"/>
    </row>
    <row r="23" spans="1:38" ht="16.5" customHeight="1">
      <c r="A23" s="2">
        <v>12</v>
      </c>
      <c r="B23" s="12"/>
      <c r="C23" s="12"/>
      <c r="D23" s="145"/>
      <c r="E23" s="16"/>
      <c r="F23" s="16"/>
      <c r="G23" s="17"/>
      <c r="H23" s="17"/>
      <c r="I23" s="17"/>
      <c r="J23" s="179"/>
      <c r="K23" s="146"/>
      <c r="L23" s="146"/>
      <c r="M23" s="145"/>
      <c r="N23" s="12"/>
      <c r="O23" s="145"/>
      <c r="P23" s="12"/>
      <c r="Q23" s="3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3"/>
      <c r="AH23" s="3"/>
      <c r="AI23" s="3"/>
      <c r="AJ23" s="194"/>
      <c r="AK23" s="195"/>
      <c r="AL23" s="196"/>
    </row>
    <row r="24" spans="1:38" ht="16.5" customHeight="1">
      <c r="A24" s="2">
        <v>13</v>
      </c>
      <c r="B24" s="12"/>
      <c r="C24" s="12"/>
      <c r="D24" s="145"/>
      <c r="E24" s="16"/>
      <c r="F24" s="16"/>
      <c r="G24" s="17"/>
      <c r="H24" s="17"/>
      <c r="I24" s="17"/>
      <c r="J24" s="17"/>
      <c r="K24" s="146"/>
      <c r="L24" s="12"/>
      <c r="M24" s="145"/>
      <c r="N24" s="12"/>
      <c r="O24" s="145"/>
      <c r="P24" s="12"/>
      <c r="Q24" s="3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3"/>
      <c r="AH24" s="3"/>
      <c r="AI24" s="3"/>
      <c r="AJ24" s="194"/>
      <c r="AK24" s="195"/>
      <c r="AL24" s="196"/>
    </row>
    <row r="25" spans="1:38" ht="16.5" customHeight="1">
      <c r="A25" s="2">
        <v>14</v>
      </c>
      <c r="B25" s="12"/>
      <c r="C25" s="12"/>
      <c r="D25" s="145"/>
      <c r="E25" s="16"/>
      <c r="F25" s="16"/>
      <c r="G25" s="17"/>
      <c r="H25" s="17"/>
      <c r="I25" s="17"/>
      <c r="J25" s="17"/>
      <c r="K25" s="146"/>
      <c r="L25" s="12"/>
      <c r="M25" s="145"/>
      <c r="N25" s="12"/>
      <c r="O25" s="145"/>
      <c r="P25" s="12"/>
      <c r="Q25" s="3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3"/>
      <c r="AH25" s="3"/>
      <c r="AI25" s="3"/>
      <c r="AJ25" s="194"/>
      <c r="AK25" s="195"/>
      <c r="AL25" s="196"/>
    </row>
    <row r="26" spans="1:38" ht="16.5" customHeight="1">
      <c r="A26" s="2">
        <v>15</v>
      </c>
      <c r="B26" s="12"/>
      <c r="C26" s="12"/>
      <c r="D26" s="145"/>
      <c r="E26" s="16"/>
      <c r="F26" s="16"/>
      <c r="G26" s="17"/>
      <c r="H26" s="17"/>
      <c r="I26" s="17"/>
      <c r="J26" s="17"/>
      <c r="K26" s="146"/>
      <c r="L26" s="12"/>
      <c r="M26" s="145"/>
      <c r="N26" s="12"/>
      <c r="O26" s="145"/>
      <c r="P26" s="12"/>
      <c r="Q26" s="3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3"/>
      <c r="AH26" s="3"/>
      <c r="AI26" s="3"/>
      <c r="AJ26" s="194"/>
      <c r="AK26" s="195"/>
      <c r="AL26" s="196"/>
    </row>
    <row r="27" spans="1:38" ht="16.5" customHeight="1">
      <c r="A27" s="2">
        <v>16</v>
      </c>
      <c r="B27" s="12"/>
      <c r="C27" s="12"/>
      <c r="D27" s="145"/>
      <c r="E27" s="16"/>
      <c r="F27" s="16"/>
      <c r="G27" s="17"/>
      <c r="H27" s="17"/>
      <c r="I27" s="17"/>
      <c r="J27" s="17"/>
      <c r="K27" s="146"/>
      <c r="L27" s="12"/>
      <c r="M27" s="145"/>
      <c r="N27" s="12"/>
      <c r="O27" s="145"/>
      <c r="P27" s="12"/>
      <c r="Q27" s="3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3"/>
      <c r="AH27" s="3"/>
      <c r="AI27" s="3"/>
      <c r="AJ27" s="194"/>
      <c r="AK27" s="195"/>
      <c r="AL27" s="196"/>
    </row>
    <row r="28" spans="1:38" ht="16.5" customHeight="1">
      <c r="A28" s="2">
        <v>17</v>
      </c>
      <c r="B28" s="12"/>
      <c r="C28" s="12"/>
      <c r="D28" s="145"/>
      <c r="E28" s="16"/>
      <c r="F28" s="16"/>
      <c r="G28" s="17"/>
      <c r="H28" s="17"/>
      <c r="I28" s="17"/>
      <c r="J28" s="17"/>
      <c r="K28" s="146"/>
      <c r="L28" s="12"/>
      <c r="M28" s="145"/>
      <c r="N28" s="12"/>
      <c r="O28" s="145"/>
      <c r="P28" s="12"/>
      <c r="Q28" s="3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3"/>
      <c r="AH28" s="3"/>
      <c r="AI28" s="3"/>
      <c r="AJ28" s="194"/>
      <c r="AK28" s="195"/>
      <c r="AL28" s="196"/>
    </row>
    <row r="29" spans="1:38" ht="16.5" customHeight="1">
      <c r="A29" s="2">
        <v>18</v>
      </c>
      <c r="B29" s="12"/>
      <c r="C29" s="12"/>
      <c r="D29" s="145"/>
      <c r="E29" s="16"/>
      <c r="F29" s="16"/>
      <c r="G29" s="17"/>
      <c r="H29" s="17"/>
      <c r="I29" s="17"/>
      <c r="J29" s="17"/>
      <c r="K29" s="146"/>
      <c r="L29" s="12"/>
      <c r="M29" s="145"/>
      <c r="N29" s="12"/>
      <c r="O29" s="145"/>
      <c r="P29" s="12"/>
      <c r="Q29" s="3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3"/>
      <c r="AH29" s="3"/>
      <c r="AI29" s="3"/>
      <c r="AJ29" s="194"/>
      <c r="AK29" s="195"/>
      <c r="AL29" s="196"/>
    </row>
    <row r="30" spans="1:38" ht="16.5" customHeight="1">
      <c r="A30" s="2">
        <v>19</v>
      </c>
      <c r="B30" s="12"/>
      <c r="C30" s="12"/>
      <c r="D30" s="145"/>
      <c r="E30" s="16"/>
      <c r="F30" s="16"/>
      <c r="G30" s="17"/>
      <c r="H30" s="17"/>
      <c r="I30" s="17"/>
      <c r="J30" s="17"/>
      <c r="K30" s="146"/>
      <c r="L30" s="12"/>
      <c r="M30" s="145"/>
      <c r="N30" s="12"/>
      <c r="O30" s="145"/>
      <c r="P30" s="12"/>
      <c r="Q30" s="3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3"/>
      <c r="AH30" s="3"/>
      <c r="AI30" s="3"/>
      <c r="AJ30" s="194"/>
      <c r="AK30" s="195"/>
      <c r="AL30" s="196"/>
    </row>
    <row r="31" spans="1:38" ht="16.5" customHeight="1">
      <c r="A31" s="2">
        <v>20</v>
      </c>
      <c r="B31" s="12"/>
      <c r="C31" s="12"/>
      <c r="D31" s="145"/>
      <c r="E31" s="16"/>
      <c r="F31" s="16"/>
      <c r="G31" s="17"/>
      <c r="H31" s="17"/>
      <c r="I31" s="17"/>
      <c r="J31" s="17"/>
      <c r="K31" s="146"/>
      <c r="L31" s="12"/>
      <c r="M31" s="145"/>
      <c r="N31" s="12"/>
      <c r="O31" s="145"/>
      <c r="P31" s="12"/>
      <c r="Q31" s="3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3"/>
      <c r="AH31" s="3"/>
      <c r="AI31" s="3"/>
      <c r="AJ31" s="194"/>
      <c r="AK31" s="195"/>
      <c r="AL31" s="196"/>
    </row>
  </sheetData>
  <mergeCells count="48">
    <mergeCell ref="AJ30:AL30"/>
    <mergeCell ref="AJ31:AL31"/>
    <mergeCell ref="AJ25:AL25"/>
    <mergeCell ref="AJ26:AL26"/>
    <mergeCell ref="AJ27:AL27"/>
    <mergeCell ref="AJ28:AL28"/>
    <mergeCell ref="AJ29:AL29"/>
    <mergeCell ref="AJ20:AL20"/>
    <mergeCell ref="AJ21:AL21"/>
    <mergeCell ref="AJ22:AL22"/>
    <mergeCell ref="AJ23:AL23"/>
    <mergeCell ref="AJ24:AL24"/>
    <mergeCell ref="AJ15:AL15"/>
    <mergeCell ref="AJ16:AL16"/>
    <mergeCell ref="AJ17:AL17"/>
    <mergeCell ref="AJ18:AL18"/>
    <mergeCell ref="AJ19:AL19"/>
    <mergeCell ref="M9:M11"/>
    <mergeCell ref="AG9:AL9"/>
    <mergeCell ref="AJ12:AL12"/>
    <mergeCell ref="AJ13:AL13"/>
    <mergeCell ref="AJ14:AL14"/>
    <mergeCell ref="R10:T10"/>
    <mergeCell ref="U10:W10"/>
    <mergeCell ref="X10:Z10"/>
    <mergeCell ref="AA10:AC10"/>
    <mergeCell ref="R9:AF9"/>
    <mergeCell ref="AI10:AI11"/>
    <mergeCell ref="AG10:AG11"/>
    <mergeCell ref="AJ10:AL11"/>
    <mergeCell ref="AH10:AH11"/>
    <mergeCell ref="AD10:AF10"/>
    <mergeCell ref="A9:A11"/>
    <mergeCell ref="B9:B11"/>
    <mergeCell ref="Q9:Q11"/>
    <mergeCell ref="E9:E11"/>
    <mergeCell ref="F9:F11"/>
    <mergeCell ref="G9:G11"/>
    <mergeCell ref="P9:P11"/>
    <mergeCell ref="H9:H11"/>
    <mergeCell ref="C9:C11"/>
    <mergeCell ref="I9:I11"/>
    <mergeCell ref="N9:N11"/>
    <mergeCell ref="K9:K11"/>
    <mergeCell ref="L9:L11"/>
    <mergeCell ref="D9:D11"/>
    <mergeCell ref="J9:J11"/>
    <mergeCell ref="O9:O11"/>
  </mergeCells>
  <phoneticPr fontId="1"/>
  <conditionalFormatting sqref="B12:C31 E12:G31 I12:I31">
    <cfRule type="containsBlanks" dxfId="31" priority="29">
      <formula>LEN(TRIM(B12))=0</formula>
    </cfRule>
  </conditionalFormatting>
  <conditionalFormatting sqref="D12:D31">
    <cfRule type="expression" dxfId="30" priority="22">
      <formula>OR(AND(D12="",B12="Update"),AND(D12="",B12="Delete"))</formula>
    </cfRule>
  </conditionalFormatting>
  <conditionalFormatting sqref="J12:J31">
    <cfRule type="expression" dxfId="29" priority="10">
      <formula>AND(J12="",B12="Create")</formula>
    </cfRule>
  </conditionalFormatting>
  <conditionalFormatting sqref="K12:K31">
    <cfRule type="expression" dxfId="28" priority="17">
      <formula>OR(AND(K12="",B12="Create"),AND(K12="",B12="Update"))</formula>
    </cfRule>
  </conditionalFormatting>
  <conditionalFormatting sqref="L12:M31">
    <cfRule type="expression" dxfId="27" priority="3">
      <formula>OR(AND(L12="",B12="Create"),AND(L12="",B12="Update"))</formula>
    </cfRule>
  </conditionalFormatting>
  <conditionalFormatting sqref="M12:M31">
    <cfRule type="expression" dxfId="26" priority="15">
      <formula>AND(M12="",L12="LEVEL 1")</formula>
    </cfRule>
  </conditionalFormatting>
  <conditionalFormatting sqref="N12:N15">
    <cfRule type="expression" dxfId="25" priority="31">
      <formula>OR(AND(N12="",B11="Create"),AND(N12="",B11="Update"))</formula>
    </cfRule>
  </conditionalFormatting>
  <conditionalFormatting sqref="N16:N17">
    <cfRule type="expression" dxfId="24" priority="118">
      <formula>OR(AND(N16="",#REF!="Create"),AND(N16="",#REF!="Update"))</formula>
    </cfRule>
  </conditionalFormatting>
  <conditionalFormatting sqref="N18">
    <cfRule type="expression" dxfId="23" priority="117">
      <formula>OR(AND(N18="",B16="Create"),AND(N18="",B16="Update"))</formula>
    </cfRule>
  </conditionalFormatting>
  <conditionalFormatting sqref="N19:N22">
    <cfRule type="expression" dxfId="22" priority="95">
      <formula>OR(AND(N19="",B15="Create"),AND(N19="",B15="Update"))</formula>
    </cfRule>
  </conditionalFormatting>
  <conditionalFormatting sqref="O12:O13 O18 O22:O31">
    <cfRule type="expression" dxfId="21" priority="32">
      <formula>AND(O12="",N13="Need")</formula>
    </cfRule>
  </conditionalFormatting>
  <conditionalFormatting sqref="O12:O22 N23:O31">
    <cfRule type="expression" dxfId="20" priority="8">
      <formula>OR(AND(N12="",B12="Create"),AND(N12="",B12="Update"))</formula>
    </cfRule>
  </conditionalFormatting>
  <conditionalFormatting sqref="O14">
    <cfRule type="expression" dxfId="19" priority="77">
      <formula>AND(O14="",N21="Need")</formula>
    </cfRule>
  </conditionalFormatting>
  <conditionalFormatting sqref="O15">
    <cfRule type="expression" dxfId="18" priority="100">
      <formula>AND(O15="",N19="Need")</formula>
    </cfRule>
  </conditionalFormatting>
  <conditionalFormatting sqref="O16">
    <cfRule type="expression" dxfId="17" priority="122">
      <formula>AND(O16="",N18="Need")</formula>
    </cfRule>
  </conditionalFormatting>
  <conditionalFormatting sqref="O17">
    <cfRule type="expression" dxfId="16" priority="2">
      <formula>AND(O17="",N14="Need")</formula>
    </cfRule>
  </conditionalFormatting>
  <conditionalFormatting sqref="O19:O21">
    <cfRule type="expression" dxfId="15" priority="127">
      <formula>AND(O19="",N16="Need")</formula>
    </cfRule>
  </conditionalFormatting>
  <conditionalFormatting sqref="P12:P31">
    <cfRule type="expression" dxfId="14" priority="12">
      <formula>OR(AND(P12="",B12="Create"),AND(P12="",B12="Update"))</formula>
    </cfRule>
  </conditionalFormatting>
  <conditionalFormatting sqref="Q12:Q31">
    <cfRule type="expression" dxfId="13" priority="11">
      <formula>AND(Q12="",B12="Update")</formula>
    </cfRule>
  </conditionalFormatting>
  <dataValidations count="8">
    <dataValidation type="list" allowBlank="1" showInputMessage="1" showErrorMessage="1" sqref="AG12:AG31">
      <formula1>status</formula1>
    </dataValidation>
    <dataValidation type="list" allowBlank="1" showInputMessage="1" showErrorMessage="1" sqref="T12:T31 W12:W31 Z12:Z31 AC12:AC31 AF12:AF31">
      <formula1>Measure</formula1>
    </dataValidation>
    <dataValidation type="custom" allowBlank="1" showInputMessage="1" showErrorMessage="1" sqref="E37">
      <formula1>security</formula1>
    </dataValidation>
    <dataValidation type="list" allowBlank="1" showInputMessage="1" showErrorMessage="1" sqref="R12:S31 U12:V31 X12:Y31 AA12:AB31 AD12:AE31">
      <formula1>Weight</formula1>
    </dataValidation>
    <dataValidation type="list" allowBlank="1" showInputMessage="1" showErrorMessage="1" sqref="L12:L31">
      <formula1>security</formula1>
    </dataValidation>
    <dataValidation type="list" allowBlank="1" showInputMessage="1" showErrorMessage="1" sqref="B12:B31">
      <formula1>request</formula1>
    </dataValidation>
    <dataValidation type="list" allowBlank="1" showInputMessage="1" showErrorMessage="1" sqref="N12:N31 P12:P31">
      <formula1>actuate</formula1>
    </dataValidation>
    <dataValidation type="whole" imeMode="halfAlpha" allowBlank="1" showInputMessage="1" showErrorMessage="1" errorTitle="Input error" error="Please state Partner ID as a 4-digit number." sqref="G12:G31">
      <formula1>1000</formula1>
      <formula2>9999</formula2>
    </dataValidation>
  </dataValidations>
  <pageMargins left="0" right="0" top="0" bottom="0" header="0" footer="0"/>
  <pageSetup paperSize="8" scale="47" orientation="landscape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Sheet1!$I$11:$I$12</xm:f>
          </x14:formula1>
          <xm:sqref>C12:C31</xm:sqref>
        </x14:dataValidation>
        <x14:dataValidation type="list" allowBlank="1" showInputMessage="1" showErrorMessage="1">
          <x14:formula1>
            <xm:f>'Time Zone List'!$A$1:$A$45</xm:f>
          </x14:formula1>
          <xm:sqref>K12:K31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/>
  </sheetViews>
  <sheetFormatPr defaultColWidth="8.75" defaultRowHeight="14.25"/>
  <cols>
    <col min="1" max="1" width="10.375" style="147" customWidth="1"/>
    <col min="2" max="2" width="33.375" style="147" customWidth="1"/>
    <col min="3" max="3" width="19.125" style="147" customWidth="1"/>
    <col min="4" max="4" width="16.75" style="147" customWidth="1"/>
    <col min="5" max="16384" width="8.75" style="147"/>
  </cols>
  <sheetData>
    <row r="1" spans="1:4" ht="15">
      <c r="A1" s="171" t="s">
        <v>41</v>
      </c>
      <c r="B1" s="172" t="s">
        <v>42</v>
      </c>
      <c r="C1" s="173" t="s">
        <v>43</v>
      </c>
      <c r="D1" s="174" t="s">
        <v>44</v>
      </c>
    </row>
    <row r="2" spans="1:4">
      <c r="A2" s="148" t="s">
        <v>45</v>
      </c>
      <c r="B2" s="148" t="s">
        <v>46</v>
      </c>
      <c r="C2" s="175">
        <v>4</v>
      </c>
      <c r="D2" s="148" t="s">
        <v>47</v>
      </c>
    </row>
    <row r="3" spans="1:4">
      <c r="A3" s="148" t="s">
        <v>48</v>
      </c>
      <c r="B3" s="148" t="s">
        <v>49</v>
      </c>
      <c r="C3" s="175">
        <v>6</v>
      </c>
      <c r="D3" s="148" t="s">
        <v>47</v>
      </c>
    </row>
    <row r="4" spans="1:4">
      <c r="A4" s="148" t="s">
        <v>50</v>
      </c>
      <c r="B4" s="148" t="s">
        <v>51</v>
      </c>
      <c r="C4" s="175">
        <v>1</v>
      </c>
      <c r="D4" s="148" t="s">
        <v>52</v>
      </c>
    </row>
    <row r="5" spans="1:4">
      <c r="A5" s="148" t="s">
        <v>53</v>
      </c>
      <c r="B5" s="148" t="s">
        <v>54</v>
      </c>
      <c r="C5" s="175">
        <v>-3</v>
      </c>
      <c r="D5" s="148" t="s">
        <v>52</v>
      </c>
    </row>
    <row r="6" spans="1:4">
      <c r="A6" s="148" t="s">
        <v>55</v>
      </c>
      <c r="B6" s="148" t="s">
        <v>56</v>
      </c>
      <c r="C6" s="175">
        <v>-3</v>
      </c>
      <c r="D6" s="148" t="s">
        <v>47</v>
      </c>
    </row>
    <row r="7" spans="1:4">
      <c r="A7" s="148" t="s">
        <v>57</v>
      </c>
      <c r="B7" s="148" t="s">
        <v>58</v>
      </c>
      <c r="C7" s="175">
        <v>-4</v>
      </c>
      <c r="D7" s="148" t="s">
        <v>47</v>
      </c>
    </row>
    <row r="8" spans="1:4">
      <c r="A8" s="148" t="s">
        <v>59</v>
      </c>
      <c r="B8" s="148" t="s">
        <v>60</v>
      </c>
      <c r="C8" s="175">
        <v>-4</v>
      </c>
      <c r="D8" s="148" t="s">
        <v>52</v>
      </c>
    </row>
    <row r="9" spans="1:4">
      <c r="A9" s="148" t="s">
        <v>61</v>
      </c>
      <c r="B9" s="148" t="s">
        <v>62</v>
      </c>
      <c r="C9" s="175">
        <v>-5</v>
      </c>
      <c r="D9" s="148" t="s">
        <v>47</v>
      </c>
    </row>
    <row r="10" spans="1:4">
      <c r="A10" s="148" t="s">
        <v>63</v>
      </c>
      <c r="B10" s="148" t="s">
        <v>64</v>
      </c>
      <c r="C10" s="175">
        <v>-4</v>
      </c>
      <c r="D10" s="148" t="s">
        <v>52</v>
      </c>
    </row>
    <row r="11" spans="1:4">
      <c r="A11" s="148" t="s">
        <v>65</v>
      </c>
      <c r="B11" s="148" t="s">
        <v>66</v>
      </c>
      <c r="C11" s="175">
        <v>-4</v>
      </c>
      <c r="D11" s="148" t="s">
        <v>47</v>
      </c>
    </row>
    <row r="12" spans="1:4">
      <c r="A12" s="148" t="s">
        <v>67</v>
      </c>
      <c r="B12" s="148" t="s">
        <v>68</v>
      </c>
      <c r="C12" s="175">
        <v>-5</v>
      </c>
      <c r="D12" s="148" t="s">
        <v>52</v>
      </c>
    </row>
    <row r="13" spans="1:4">
      <c r="A13" s="148" t="s">
        <v>69</v>
      </c>
      <c r="B13" s="148" t="s">
        <v>70</v>
      </c>
      <c r="C13" s="175">
        <v>-6</v>
      </c>
      <c r="D13" s="148" t="s">
        <v>52</v>
      </c>
    </row>
    <row r="14" spans="1:4">
      <c r="A14" s="148" t="s">
        <v>71</v>
      </c>
      <c r="B14" s="148" t="s">
        <v>72</v>
      </c>
      <c r="C14" s="175">
        <v>-7</v>
      </c>
      <c r="D14" s="148" t="s">
        <v>52</v>
      </c>
    </row>
    <row r="15" spans="1:4">
      <c r="A15" s="148" t="s">
        <v>73</v>
      </c>
      <c r="B15" s="148" t="s">
        <v>74</v>
      </c>
      <c r="C15" s="175">
        <v>-5</v>
      </c>
      <c r="D15" s="148" t="s">
        <v>52</v>
      </c>
    </row>
    <row r="16" spans="1:4">
      <c r="A16" s="148" t="s">
        <v>75</v>
      </c>
      <c r="B16" s="148" t="s">
        <v>76</v>
      </c>
      <c r="C16" s="175">
        <v>-6</v>
      </c>
      <c r="D16" s="148" t="s">
        <v>47</v>
      </c>
    </row>
    <row r="17" spans="1:4">
      <c r="A17" s="148" t="s">
        <v>77</v>
      </c>
      <c r="B17" s="148" t="s">
        <v>78</v>
      </c>
      <c r="C17" s="175">
        <v>-8</v>
      </c>
      <c r="D17" s="148" t="s">
        <v>52</v>
      </c>
    </row>
    <row r="18" spans="1:4">
      <c r="A18" s="148" t="s">
        <v>79</v>
      </c>
      <c r="B18" s="148" t="s">
        <v>80</v>
      </c>
      <c r="C18" s="175">
        <v>-3.5</v>
      </c>
      <c r="D18" s="148" t="s">
        <v>52</v>
      </c>
    </row>
    <row r="19" spans="1:4">
      <c r="A19" s="148" t="s">
        <v>81</v>
      </c>
      <c r="B19" s="148" t="s">
        <v>82</v>
      </c>
      <c r="C19" s="175">
        <v>8</v>
      </c>
      <c r="D19" s="148" t="s">
        <v>47</v>
      </c>
    </row>
    <row r="20" spans="1:4">
      <c r="A20" s="148" t="s">
        <v>83</v>
      </c>
      <c r="B20" s="148" t="s">
        <v>84</v>
      </c>
      <c r="C20" s="175">
        <v>1</v>
      </c>
      <c r="D20" s="148" t="s">
        <v>52</v>
      </c>
    </row>
    <row r="21" spans="1:4">
      <c r="A21" s="148" t="s">
        <v>85</v>
      </c>
      <c r="B21" s="148" t="s">
        <v>86</v>
      </c>
      <c r="C21" s="175">
        <v>1</v>
      </c>
      <c r="D21" s="148" t="s">
        <v>52</v>
      </c>
    </row>
    <row r="22" spans="1:4">
      <c r="A22" s="148" t="s">
        <v>87</v>
      </c>
      <c r="B22" s="148" t="s">
        <v>88</v>
      </c>
      <c r="C22" s="175">
        <v>0</v>
      </c>
      <c r="D22" s="148" t="s">
        <v>52</v>
      </c>
    </row>
    <row r="23" spans="1:4">
      <c r="A23" s="148" t="s">
        <v>89</v>
      </c>
      <c r="B23" s="148" t="s">
        <v>90</v>
      </c>
      <c r="C23" s="175">
        <v>8</v>
      </c>
      <c r="D23" s="148" t="s">
        <v>47</v>
      </c>
    </row>
    <row r="24" spans="1:4">
      <c r="A24" s="148" t="s">
        <v>91</v>
      </c>
      <c r="B24" s="148" t="s">
        <v>92</v>
      </c>
      <c r="C24" s="175">
        <v>7</v>
      </c>
      <c r="D24" s="148" t="s">
        <v>47</v>
      </c>
    </row>
    <row r="25" spans="1:4">
      <c r="A25" s="148" t="s">
        <v>93</v>
      </c>
      <c r="B25" s="148" t="s">
        <v>94</v>
      </c>
      <c r="C25" s="175">
        <v>5.5</v>
      </c>
      <c r="D25" s="148" t="s">
        <v>47</v>
      </c>
    </row>
    <row r="26" spans="1:4">
      <c r="A26" s="148" t="s">
        <v>95</v>
      </c>
      <c r="B26" s="148" t="s">
        <v>96</v>
      </c>
      <c r="C26" s="175">
        <v>1</v>
      </c>
      <c r="D26" s="148" t="s">
        <v>52</v>
      </c>
    </row>
    <row r="27" spans="1:4">
      <c r="A27" s="148" t="s">
        <v>97</v>
      </c>
      <c r="B27" s="148" t="s">
        <v>98</v>
      </c>
      <c r="C27" s="175">
        <v>9</v>
      </c>
      <c r="D27" s="148" t="s">
        <v>47</v>
      </c>
    </row>
    <row r="28" spans="1:4">
      <c r="A28" s="148" t="s">
        <v>99</v>
      </c>
      <c r="B28" s="148" t="s">
        <v>100</v>
      </c>
      <c r="C28" s="175">
        <v>7</v>
      </c>
      <c r="D28" s="148" t="s">
        <v>47</v>
      </c>
    </row>
    <row r="29" spans="1:4">
      <c r="A29" s="148" t="s">
        <v>101</v>
      </c>
      <c r="B29" s="148" t="s">
        <v>102</v>
      </c>
      <c r="C29" s="175">
        <v>9</v>
      </c>
      <c r="D29" s="148" t="s">
        <v>47</v>
      </c>
    </row>
    <row r="30" spans="1:4">
      <c r="A30" s="148" t="s">
        <v>103</v>
      </c>
      <c r="B30" s="148" t="s">
        <v>104</v>
      </c>
      <c r="C30" s="175">
        <v>1</v>
      </c>
      <c r="D30" s="148" t="s">
        <v>52</v>
      </c>
    </row>
    <row r="31" spans="1:4">
      <c r="A31" s="148" t="s">
        <v>105</v>
      </c>
      <c r="B31" s="148" t="s">
        <v>106</v>
      </c>
      <c r="C31" s="175">
        <v>-6</v>
      </c>
      <c r="D31" s="148" t="s">
        <v>47</v>
      </c>
    </row>
    <row r="32" spans="1:4">
      <c r="A32" s="148" t="s">
        <v>107</v>
      </c>
      <c r="B32" s="148" t="s">
        <v>108</v>
      </c>
      <c r="C32" s="175">
        <v>8</v>
      </c>
      <c r="D32" s="148" t="s">
        <v>47</v>
      </c>
    </row>
    <row r="33" spans="1:4">
      <c r="A33" s="148" t="s">
        <v>109</v>
      </c>
      <c r="B33" s="148" t="s">
        <v>110</v>
      </c>
      <c r="C33" s="175">
        <v>1</v>
      </c>
      <c r="D33" s="148" t="s">
        <v>52</v>
      </c>
    </row>
    <row r="34" spans="1:4">
      <c r="A34" s="148" t="s">
        <v>40</v>
      </c>
      <c r="B34" s="148" t="s">
        <v>111</v>
      </c>
      <c r="C34" s="175">
        <v>8</v>
      </c>
      <c r="D34" s="148" t="s">
        <v>47</v>
      </c>
    </row>
    <row r="35" spans="1:4">
      <c r="A35" s="148" t="s">
        <v>112</v>
      </c>
      <c r="B35" s="148" t="s">
        <v>113</v>
      </c>
      <c r="C35" s="175">
        <v>8</v>
      </c>
      <c r="D35" s="148" t="s">
        <v>47</v>
      </c>
    </row>
    <row r="36" spans="1:4">
      <c r="A36" s="148" t="s">
        <v>114</v>
      </c>
      <c r="B36" s="148" t="s">
        <v>115</v>
      </c>
      <c r="C36" s="175">
        <v>7</v>
      </c>
      <c r="D36" s="148" t="s">
        <v>47</v>
      </c>
    </row>
    <row r="37" spans="1:4">
      <c r="A37" s="148" t="s">
        <v>116</v>
      </c>
      <c r="B37" s="148" t="s">
        <v>117</v>
      </c>
      <c r="C37" s="175">
        <v>8</v>
      </c>
      <c r="D37" s="148" t="s">
        <v>47</v>
      </c>
    </row>
    <row r="38" spans="1:4">
      <c r="A38" s="148" t="s">
        <v>118</v>
      </c>
      <c r="B38" s="148" t="s">
        <v>119</v>
      </c>
      <c r="C38" s="175">
        <v>-5</v>
      </c>
      <c r="D38" s="148" t="s">
        <v>52</v>
      </c>
    </row>
    <row r="39" spans="1:4">
      <c r="A39" s="148" t="s">
        <v>120</v>
      </c>
      <c r="B39" s="148" t="s">
        <v>121</v>
      </c>
      <c r="C39" s="175">
        <v>-5</v>
      </c>
      <c r="D39" s="148" t="s">
        <v>52</v>
      </c>
    </row>
    <row r="40" spans="1:4">
      <c r="A40" s="148" t="s">
        <v>122</v>
      </c>
      <c r="B40" s="148" t="s">
        <v>123</v>
      </c>
      <c r="C40" s="175">
        <v>-6</v>
      </c>
      <c r="D40" s="148" t="s">
        <v>52</v>
      </c>
    </row>
    <row r="41" spans="1:4">
      <c r="A41" s="148" t="s">
        <v>124</v>
      </c>
      <c r="B41" s="148" t="s">
        <v>125</v>
      </c>
      <c r="C41" s="175">
        <v>-7</v>
      </c>
      <c r="D41" s="148" t="s">
        <v>52</v>
      </c>
    </row>
    <row r="42" spans="1:4">
      <c r="A42" s="148" t="s">
        <v>126</v>
      </c>
      <c r="B42" s="148" t="s">
        <v>127</v>
      </c>
      <c r="C42" s="175">
        <v>-7</v>
      </c>
      <c r="D42" s="148" t="s">
        <v>47</v>
      </c>
    </row>
    <row r="43" spans="1:4">
      <c r="A43" s="148" t="s">
        <v>128</v>
      </c>
      <c r="B43" s="148" t="s">
        <v>129</v>
      </c>
      <c r="C43" s="175">
        <v>-8</v>
      </c>
      <c r="D43" s="148" t="s">
        <v>52</v>
      </c>
    </row>
    <row r="44" spans="1:4">
      <c r="A44" s="148" t="s">
        <v>130</v>
      </c>
      <c r="B44" s="148" t="s">
        <v>131</v>
      </c>
      <c r="C44" s="175">
        <v>-9</v>
      </c>
      <c r="D44" s="148" t="s">
        <v>52</v>
      </c>
    </row>
    <row r="45" spans="1:4">
      <c r="A45" s="148" t="s">
        <v>132</v>
      </c>
      <c r="B45" s="148" t="s">
        <v>133</v>
      </c>
      <c r="C45" s="175">
        <v>-10</v>
      </c>
      <c r="D45" s="148" t="s">
        <v>47</v>
      </c>
    </row>
    <row r="46" spans="1:4">
      <c r="A46" s="148" t="s">
        <v>134</v>
      </c>
      <c r="B46" s="148" t="s">
        <v>135</v>
      </c>
      <c r="C46" s="175">
        <v>7</v>
      </c>
      <c r="D46" s="148" t="s">
        <v>47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zoomScale="81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6" sqref="K36"/>
    </sheetView>
  </sheetViews>
  <sheetFormatPr defaultColWidth="9" defaultRowHeight="12.75"/>
  <cols>
    <col min="1" max="1" width="2.875" style="48" bestFit="1" customWidth="1"/>
    <col min="2" max="2" width="5.25" style="48" customWidth="1"/>
    <col min="3" max="3" width="28.75" style="48" bestFit="1" customWidth="1"/>
    <col min="4" max="4" width="24.375" style="48" bestFit="1" customWidth="1"/>
    <col min="5" max="5" width="19.375" style="48" bestFit="1" customWidth="1"/>
    <col min="6" max="6" width="26.125" style="48" customWidth="1"/>
    <col min="7" max="7" width="23" style="48" customWidth="1"/>
    <col min="8" max="9" width="21.25" style="48" customWidth="1"/>
    <col min="10" max="10" width="22.25" style="48" customWidth="1"/>
    <col min="11" max="11" width="21.375" style="48" customWidth="1"/>
    <col min="12" max="12" width="22" style="48" customWidth="1"/>
    <col min="13" max="16384" width="9" style="48"/>
  </cols>
  <sheetData>
    <row r="1" spans="1:12" ht="20.25" customHeight="1">
      <c r="A1" s="45"/>
      <c r="B1" s="46"/>
      <c r="C1" s="47" t="s">
        <v>22</v>
      </c>
      <c r="D1" s="211" t="s">
        <v>136</v>
      </c>
      <c r="E1" s="212"/>
      <c r="F1" s="211" t="s">
        <v>137</v>
      </c>
      <c r="G1" s="213"/>
      <c r="H1" s="212"/>
      <c r="I1" s="214" t="s">
        <v>138</v>
      </c>
      <c r="J1" s="215"/>
      <c r="K1" s="215"/>
      <c r="L1" s="216"/>
    </row>
    <row r="2" spans="1:12">
      <c r="A2" s="49"/>
      <c r="B2" s="50"/>
      <c r="C2" s="51"/>
      <c r="D2" s="52" t="s">
        <v>139</v>
      </c>
      <c r="E2" s="53"/>
      <c r="F2" s="52" t="s">
        <v>140</v>
      </c>
      <c r="G2" s="54"/>
      <c r="H2" s="53" t="s">
        <v>141</v>
      </c>
      <c r="I2" s="52" t="s">
        <v>142</v>
      </c>
      <c r="J2" s="54"/>
      <c r="K2" s="54"/>
      <c r="L2" s="53"/>
    </row>
    <row r="3" spans="1:12" ht="66.599999999999994" customHeight="1">
      <c r="A3" s="49"/>
      <c r="B3" s="50"/>
      <c r="C3" s="51"/>
      <c r="D3" s="52"/>
      <c r="E3" s="55"/>
      <c r="F3" s="56" t="s">
        <v>143</v>
      </c>
      <c r="G3" s="57"/>
      <c r="H3" s="55" t="s">
        <v>144</v>
      </c>
      <c r="I3" s="56" t="s">
        <v>145</v>
      </c>
      <c r="J3" s="57"/>
      <c r="K3" s="57"/>
      <c r="L3" s="55"/>
    </row>
    <row r="4" spans="1:12" ht="14.25" customHeight="1">
      <c r="A4" s="58"/>
      <c r="B4" s="59"/>
      <c r="C4" s="60" t="s">
        <v>146</v>
      </c>
      <c r="D4" s="61" t="s">
        <v>147</v>
      </c>
      <c r="E4" s="62"/>
      <c r="F4" s="61" t="s">
        <v>148</v>
      </c>
      <c r="G4" s="63"/>
      <c r="H4" s="62" t="s">
        <v>148</v>
      </c>
      <c r="I4" s="61" t="s">
        <v>148</v>
      </c>
      <c r="J4" s="63"/>
      <c r="K4" s="63"/>
      <c r="L4" s="62"/>
    </row>
    <row r="5" spans="1:12" ht="51.75" thickBot="1">
      <c r="A5" s="64"/>
      <c r="B5" s="65"/>
      <c r="C5" s="66" t="s">
        <v>149</v>
      </c>
      <c r="D5" s="67" t="s">
        <v>150</v>
      </c>
      <c r="E5" s="68" t="s">
        <v>151</v>
      </c>
      <c r="F5" s="67" t="s">
        <v>152</v>
      </c>
      <c r="G5" s="69" t="s">
        <v>151</v>
      </c>
      <c r="H5" s="70" t="s">
        <v>153</v>
      </c>
      <c r="I5" s="67" t="s">
        <v>154</v>
      </c>
      <c r="J5" s="69" t="s">
        <v>155</v>
      </c>
      <c r="K5" s="69" t="s">
        <v>156</v>
      </c>
      <c r="L5" s="68" t="s">
        <v>157</v>
      </c>
    </row>
    <row r="6" spans="1:12">
      <c r="A6" s="217" t="s">
        <v>158</v>
      </c>
      <c r="B6" s="71">
        <v>1</v>
      </c>
      <c r="C6" s="72" t="s">
        <v>159</v>
      </c>
      <c r="D6" s="73" t="s">
        <v>160</v>
      </c>
      <c r="E6" s="71" t="s">
        <v>160</v>
      </c>
      <c r="F6" s="73" t="s">
        <v>161</v>
      </c>
      <c r="G6" s="74" t="s">
        <v>161</v>
      </c>
      <c r="H6" s="71" t="s">
        <v>160</v>
      </c>
      <c r="I6" s="75" t="s">
        <v>160</v>
      </c>
      <c r="J6" s="76" t="s">
        <v>160</v>
      </c>
      <c r="K6" s="71" t="s">
        <v>160</v>
      </c>
      <c r="L6" s="71" t="s">
        <v>160</v>
      </c>
    </row>
    <row r="7" spans="1:12">
      <c r="A7" s="218"/>
      <c r="B7" s="53">
        <v>2</v>
      </c>
      <c r="C7" s="77" t="s">
        <v>162</v>
      </c>
      <c r="D7" s="52" t="s">
        <v>161</v>
      </c>
      <c r="E7" s="62" t="s">
        <v>161</v>
      </c>
      <c r="F7" s="52" t="s">
        <v>161</v>
      </c>
      <c r="G7" s="54" t="s">
        <v>161</v>
      </c>
      <c r="H7" s="53" t="s">
        <v>161</v>
      </c>
      <c r="I7" s="78" t="s">
        <v>161</v>
      </c>
      <c r="J7" s="79" t="s">
        <v>161</v>
      </c>
      <c r="K7" s="53" t="s">
        <v>161</v>
      </c>
      <c r="L7" s="53" t="s">
        <v>161</v>
      </c>
    </row>
    <row r="8" spans="1:12">
      <c r="A8" s="218"/>
      <c r="B8" s="53">
        <v>3</v>
      </c>
      <c r="C8" s="77" t="s">
        <v>163</v>
      </c>
      <c r="D8" s="52" t="s">
        <v>161</v>
      </c>
      <c r="E8" s="53" t="s">
        <v>164</v>
      </c>
      <c r="F8" s="52" t="s">
        <v>161</v>
      </c>
      <c r="G8" s="54" t="s">
        <v>161</v>
      </c>
      <c r="H8" s="53" t="s">
        <v>161</v>
      </c>
      <c r="I8" s="78" t="s">
        <v>161</v>
      </c>
      <c r="J8" s="79" t="s">
        <v>161</v>
      </c>
      <c r="K8" s="53" t="s">
        <v>161</v>
      </c>
      <c r="L8" s="53" t="s">
        <v>161</v>
      </c>
    </row>
    <row r="9" spans="1:12">
      <c r="A9" s="218"/>
      <c r="B9" s="53">
        <v>4</v>
      </c>
      <c r="C9" s="77" t="s">
        <v>165</v>
      </c>
      <c r="D9" s="52" t="s">
        <v>161</v>
      </c>
      <c r="E9" s="53" t="s">
        <v>161</v>
      </c>
      <c r="F9" s="52" t="s">
        <v>161</v>
      </c>
      <c r="G9" s="54" t="s">
        <v>161</v>
      </c>
      <c r="H9" s="53" t="s">
        <v>161</v>
      </c>
      <c r="I9" s="78" t="s">
        <v>161</v>
      </c>
      <c r="J9" s="79" t="s">
        <v>161</v>
      </c>
      <c r="K9" s="53" t="s">
        <v>161</v>
      </c>
      <c r="L9" s="53" t="s">
        <v>161</v>
      </c>
    </row>
    <row r="10" spans="1:12">
      <c r="A10" s="218"/>
      <c r="B10" s="53">
        <v>5</v>
      </c>
      <c r="C10" s="51" t="s">
        <v>166</v>
      </c>
      <c r="D10" s="52" t="s">
        <v>161</v>
      </c>
      <c r="E10" s="53" t="s">
        <v>161</v>
      </c>
      <c r="F10" s="52" t="s">
        <v>161</v>
      </c>
      <c r="G10" s="54" t="s">
        <v>161</v>
      </c>
      <c r="H10" s="53" t="s">
        <v>161</v>
      </c>
      <c r="I10" s="78" t="s">
        <v>161</v>
      </c>
      <c r="J10" s="79" t="s">
        <v>161</v>
      </c>
      <c r="K10" s="53" t="s">
        <v>161</v>
      </c>
      <c r="L10" s="53" t="s">
        <v>161</v>
      </c>
    </row>
    <row r="11" spans="1:12">
      <c r="A11" s="218"/>
      <c r="B11" s="53">
        <v>6</v>
      </c>
      <c r="C11" s="51" t="s">
        <v>167</v>
      </c>
      <c r="D11" s="52" t="s">
        <v>161</v>
      </c>
      <c r="E11" s="53" t="s">
        <v>161</v>
      </c>
      <c r="F11" s="52" t="s">
        <v>161</v>
      </c>
      <c r="G11" s="54" t="s">
        <v>161</v>
      </c>
      <c r="H11" s="53" t="s">
        <v>168</v>
      </c>
      <c r="I11" s="78" t="s">
        <v>168</v>
      </c>
      <c r="J11" s="79" t="s">
        <v>168</v>
      </c>
      <c r="K11" s="53" t="s">
        <v>168</v>
      </c>
      <c r="L11" s="53" t="s">
        <v>168</v>
      </c>
    </row>
    <row r="12" spans="1:12">
      <c r="A12" s="218"/>
      <c r="B12" s="53">
        <v>7</v>
      </c>
      <c r="C12" s="51" t="s">
        <v>169</v>
      </c>
      <c r="D12" s="52" t="s">
        <v>161</v>
      </c>
      <c r="E12" s="53" t="s">
        <v>161</v>
      </c>
      <c r="F12" s="52" t="s">
        <v>161</v>
      </c>
      <c r="G12" s="54" t="s">
        <v>161</v>
      </c>
      <c r="H12" s="53" t="s">
        <v>168</v>
      </c>
      <c r="I12" s="78" t="s">
        <v>168</v>
      </c>
      <c r="J12" s="79" t="s">
        <v>168</v>
      </c>
      <c r="K12" s="53" t="s">
        <v>168</v>
      </c>
      <c r="L12" s="53" t="s">
        <v>168</v>
      </c>
    </row>
    <row r="13" spans="1:12">
      <c r="A13" s="218"/>
      <c r="B13" s="53">
        <v>8</v>
      </c>
      <c r="C13" s="51" t="s">
        <v>170</v>
      </c>
      <c r="D13" s="52" t="s">
        <v>161</v>
      </c>
      <c r="E13" s="53" t="s">
        <v>161</v>
      </c>
      <c r="F13" s="52" t="s">
        <v>161</v>
      </c>
      <c r="G13" s="54" t="s">
        <v>161</v>
      </c>
      <c r="H13" s="53" t="s">
        <v>168</v>
      </c>
      <c r="I13" s="78" t="s">
        <v>168</v>
      </c>
      <c r="J13" s="79" t="s">
        <v>168</v>
      </c>
      <c r="K13" s="53" t="s">
        <v>168</v>
      </c>
      <c r="L13" s="53" t="s">
        <v>168</v>
      </c>
    </row>
    <row r="14" spans="1:12">
      <c r="A14" s="218"/>
      <c r="B14" s="53">
        <v>9</v>
      </c>
      <c r="C14" s="51" t="s">
        <v>171</v>
      </c>
      <c r="D14" s="52" t="s">
        <v>161</v>
      </c>
      <c r="E14" s="53" t="s">
        <v>161</v>
      </c>
      <c r="F14" s="52" t="s">
        <v>161</v>
      </c>
      <c r="G14" s="54" t="s">
        <v>161</v>
      </c>
      <c r="H14" s="53" t="s">
        <v>161</v>
      </c>
      <c r="I14" s="78" t="s">
        <v>161</v>
      </c>
      <c r="J14" s="79" t="s">
        <v>161</v>
      </c>
      <c r="K14" s="53" t="s">
        <v>161</v>
      </c>
      <c r="L14" s="53" t="s">
        <v>161</v>
      </c>
    </row>
    <row r="15" spans="1:12">
      <c r="A15" s="218"/>
      <c r="B15" s="53">
        <v>10</v>
      </c>
      <c r="C15" s="51" t="s">
        <v>172</v>
      </c>
      <c r="D15" s="52" t="s">
        <v>161</v>
      </c>
      <c r="E15" s="53" t="s">
        <v>161</v>
      </c>
      <c r="F15" s="52" t="s">
        <v>161</v>
      </c>
      <c r="G15" s="54" t="s">
        <v>161</v>
      </c>
      <c r="H15" s="53" t="s">
        <v>168</v>
      </c>
      <c r="I15" s="78" t="s">
        <v>168</v>
      </c>
      <c r="J15" s="79" t="s">
        <v>168</v>
      </c>
      <c r="K15" s="53" t="s">
        <v>168</v>
      </c>
      <c r="L15" s="53" t="s">
        <v>168</v>
      </c>
    </row>
    <row r="16" spans="1:12">
      <c r="A16" s="218"/>
      <c r="B16" s="53">
        <v>11</v>
      </c>
      <c r="C16" s="51" t="s">
        <v>173</v>
      </c>
      <c r="D16" s="52" t="s">
        <v>161</v>
      </c>
      <c r="E16" s="62" t="s">
        <v>161</v>
      </c>
      <c r="F16" s="52" t="s">
        <v>168</v>
      </c>
      <c r="G16" s="54" t="s">
        <v>168</v>
      </c>
      <c r="H16" s="53" t="s">
        <v>168</v>
      </c>
      <c r="I16" s="78" t="s">
        <v>168</v>
      </c>
      <c r="J16" s="79" t="s">
        <v>168</v>
      </c>
      <c r="K16" s="53" t="s">
        <v>168</v>
      </c>
      <c r="L16" s="53" t="s">
        <v>168</v>
      </c>
    </row>
    <row r="17" spans="1:12">
      <c r="A17" s="218"/>
      <c r="B17" s="53">
        <v>12</v>
      </c>
      <c r="C17" s="51" t="s">
        <v>174</v>
      </c>
      <c r="D17" s="52" t="s">
        <v>161</v>
      </c>
      <c r="E17" s="53" t="s">
        <v>164</v>
      </c>
      <c r="F17" s="52" t="s">
        <v>168</v>
      </c>
      <c r="G17" s="54" t="s">
        <v>168</v>
      </c>
      <c r="H17" s="53" t="s">
        <v>168</v>
      </c>
      <c r="I17" s="78" t="s">
        <v>168</v>
      </c>
      <c r="J17" s="79" t="s">
        <v>168</v>
      </c>
      <c r="K17" s="53" t="s">
        <v>168</v>
      </c>
      <c r="L17" s="53" t="s">
        <v>168</v>
      </c>
    </row>
    <row r="18" spans="1:12">
      <c r="A18" s="218"/>
      <c r="B18" s="53">
        <v>13</v>
      </c>
      <c r="C18" s="51" t="s">
        <v>175</v>
      </c>
      <c r="D18" s="52" t="s">
        <v>161</v>
      </c>
      <c r="E18" s="53" t="s">
        <v>161</v>
      </c>
      <c r="F18" s="52" t="s">
        <v>168</v>
      </c>
      <c r="G18" s="54" t="s">
        <v>168</v>
      </c>
      <c r="H18" s="53" t="s">
        <v>168</v>
      </c>
      <c r="I18" s="78" t="s">
        <v>168</v>
      </c>
      <c r="J18" s="79" t="s">
        <v>168</v>
      </c>
      <c r="K18" s="53" t="s">
        <v>168</v>
      </c>
      <c r="L18" s="53" t="s">
        <v>168</v>
      </c>
    </row>
    <row r="19" spans="1:12">
      <c r="A19" s="218"/>
      <c r="B19" s="53">
        <v>14</v>
      </c>
      <c r="C19" s="51" t="s">
        <v>176</v>
      </c>
      <c r="D19" s="52" t="s">
        <v>161</v>
      </c>
      <c r="E19" s="53" t="s">
        <v>161</v>
      </c>
      <c r="F19" s="52" t="s">
        <v>161</v>
      </c>
      <c r="G19" s="54" t="s">
        <v>160</v>
      </c>
      <c r="H19" s="53" t="s">
        <v>161</v>
      </c>
      <c r="I19" s="78" t="s">
        <v>161</v>
      </c>
      <c r="J19" s="79" t="s">
        <v>161</v>
      </c>
      <c r="K19" s="53" t="s">
        <v>161</v>
      </c>
      <c r="L19" s="53" t="s">
        <v>161</v>
      </c>
    </row>
    <row r="20" spans="1:12">
      <c r="A20" s="218"/>
      <c r="B20" s="53">
        <v>15</v>
      </c>
      <c r="C20" s="51" t="s">
        <v>177</v>
      </c>
      <c r="D20" s="52" t="s">
        <v>161</v>
      </c>
      <c r="E20" s="53" t="s">
        <v>161</v>
      </c>
      <c r="F20" s="52" t="s">
        <v>161</v>
      </c>
      <c r="G20" s="54" t="s">
        <v>161</v>
      </c>
      <c r="H20" s="53" t="s">
        <v>161</v>
      </c>
      <c r="I20" s="78" t="s">
        <v>161</v>
      </c>
      <c r="J20" s="79" t="s">
        <v>161</v>
      </c>
      <c r="K20" s="53" t="s">
        <v>161</v>
      </c>
      <c r="L20" s="53" t="s">
        <v>161</v>
      </c>
    </row>
    <row r="21" spans="1:12" ht="13.5" thickBot="1">
      <c r="A21" s="219"/>
      <c r="B21" s="80">
        <v>16</v>
      </c>
      <c r="C21" s="81" t="s">
        <v>178</v>
      </c>
      <c r="D21" s="82" t="s">
        <v>161</v>
      </c>
      <c r="E21" s="80" t="s">
        <v>161</v>
      </c>
      <c r="F21" s="82" t="s">
        <v>161</v>
      </c>
      <c r="G21" s="83" t="s">
        <v>161</v>
      </c>
      <c r="H21" s="80" t="s">
        <v>168</v>
      </c>
      <c r="I21" s="84" t="s">
        <v>168</v>
      </c>
      <c r="J21" s="85" t="s">
        <v>168</v>
      </c>
      <c r="K21" s="80" t="s">
        <v>168</v>
      </c>
      <c r="L21" s="80" t="s">
        <v>168</v>
      </c>
    </row>
    <row r="22" spans="1:12">
      <c r="A22" s="220" t="s">
        <v>179</v>
      </c>
      <c r="B22" s="71">
        <v>1</v>
      </c>
      <c r="C22" s="72" t="s">
        <v>180</v>
      </c>
      <c r="D22" s="73" t="s">
        <v>181</v>
      </c>
      <c r="E22" s="71" t="s">
        <v>181</v>
      </c>
      <c r="F22" s="73" t="s">
        <v>161</v>
      </c>
      <c r="G22" s="74" t="s">
        <v>161</v>
      </c>
      <c r="H22" s="71" t="s">
        <v>161</v>
      </c>
      <c r="I22" s="75" t="s">
        <v>161</v>
      </c>
      <c r="J22" s="76" t="s">
        <v>161</v>
      </c>
      <c r="K22" s="71" t="s">
        <v>160</v>
      </c>
      <c r="L22" s="71" t="s">
        <v>161</v>
      </c>
    </row>
    <row r="23" spans="1:12">
      <c r="A23" s="221"/>
      <c r="B23" s="53">
        <v>2</v>
      </c>
      <c r="C23" s="77" t="s">
        <v>182</v>
      </c>
      <c r="D23" s="52" t="s">
        <v>183</v>
      </c>
      <c r="E23" s="53" t="s">
        <v>183</v>
      </c>
      <c r="F23" s="52" t="s">
        <v>161</v>
      </c>
      <c r="G23" s="54" t="s">
        <v>161</v>
      </c>
      <c r="H23" s="53" t="s">
        <v>181</v>
      </c>
      <c r="I23" s="78" t="s">
        <v>168</v>
      </c>
      <c r="J23" s="79" t="s">
        <v>161</v>
      </c>
      <c r="K23" s="53" t="s">
        <v>160</v>
      </c>
      <c r="L23" s="53" t="s">
        <v>160</v>
      </c>
    </row>
    <row r="24" spans="1:12">
      <c r="A24" s="221"/>
      <c r="B24" s="53">
        <v>3</v>
      </c>
      <c r="C24" s="77" t="s">
        <v>184</v>
      </c>
      <c r="D24" s="52" t="s">
        <v>183</v>
      </c>
      <c r="E24" s="53" t="s">
        <v>183</v>
      </c>
      <c r="F24" s="52" t="s">
        <v>161</v>
      </c>
      <c r="G24" s="54" t="s">
        <v>161</v>
      </c>
      <c r="H24" s="53" t="s">
        <v>168</v>
      </c>
      <c r="I24" s="78" t="s">
        <v>168</v>
      </c>
      <c r="J24" s="79" t="s">
        <v>168</v>
      </c>
      <c r="K24" s="53" t="s">
        <v>168</v>
      </c>
      <c r="L24" s="53" t="s">
        <v>168</v>
      </c>
    </row>
    <row r="25" spans="1:12">
      <c r="A25" s="221"/>
      <c r="B25" s="53">
        <v>4</v>
      </c>
      <c r="C25" s="77" t="s">
        <v>185</v>
      </c>
      <c r="D25" s="52" t="s">
        <v>183</v>
      </c>
      <c r="E25" s="53" t="s">
        <v>183</v>
      </c>
      <c r="F25" s="52" t="s">
        <v>161</v>
      </c>
      <c r="G25" s="54" t="s">
        <v>161</v>
      </c>
      <c r="H25" s="53" t="s">
        <v>161</v>
      </c>
      <c r="I25" s="78" t="s">
        <v>161</v>
      </c>
      <c r="J25" s="79" t="s">
        <v>161</v>
      </c>
      <c r="K25" s="53" t="s">
        <v>161</v>
      </c>
      <c r="L25" s="53" t="s">
        <v>161</v>
      </c>
    </row>
    <row r="26" spans="1:12">
      <c r="A26" s="221"/>
      <c r="B26" s="53">
        <v>5</v>
      </c>
      <c r="C26" s="77" t="s">
        <v>186</v>
      </c>
      <c r="D26" s="52" t="s">
        <v>183</v>
      </c>
      <c r="E26" s="53" t="s">
        <v>183</v>
      </c>
      <c r="F26" s="52" t="s">
        <v>161</v>
      </c>
      <c r="G26" s="54" t="s">
        <v>183</v>
      </c>
      <c r="H26" s="53" t="s">
        <v>168</v>
      </c>
      <c r="I26" s="78" t="s">
        <v>168</v>
      </c>
      <c r="J26" s="79" t="s">
        <v>168</v>
      </c>
      <c r="K26" s="53" t="s">
        <v>168</v>
      </c>
      <c r="L26" s="53" t="s">
        <v>168</v>
      </c>
    </row>
    <row r="27" spans="1:12" s="88" customFormat="1" ht="26.25" customHeight="1">
      <c r="A27" s="221"/>
      <c r="B27" s="55">
        <v>6</v>
      </c>
      <c r="C27" s="77" t="s">
        <v>187</v>
      </c>
      <c r="D27" s="56" t="s">
        <v>183</v>
      </c>
      <c r="E27" s="55" t="s">
        <v>183</v>
      </c>
      <c r="F27" s="56" t="s">
        <v>188</v>
      </c>
      <c r="G27" s="57" t="s">
        <v>188</v>
      </c>
      <c r="H27" s="55" t="s">
        <v>188</v>
      </c>
      <c r="I27" s="86" t="s">
        <v>189</v>
      </c>
      <c r="J27" s="87" t="s">
        <v>189</v>
      </c>
      <c r="K27" s="55" t="s">
        <v>189</v>
      </c>
      <c r="L27" s="55" t="s">
        <v>189</v>
      </c>
    </row>
    <row r="28" spans="1:12">
      <c r="A28" s="221"/>
      <c r="B28" s="53">
        <v>7</v>
      </c>
      <c r="C28" s="77" t="s">
        <v>190</v>
      </c>
      <c r="D28" s="52" t="s">
        <v>183</v>
      </c>
      <c r="E28" s="53" t="s">
        <v>183</v>
      </c>
      <c r="F28" s="52" t="s">
        <v>161</v>
      </c>
      <c r="G28" s="54" t="s">
        <v>161</v>
      </c>
      <c r="H28" s="53" t="s">
        <v>168</v>
      </c>
      <c r="I28" s="78" t="s">
        <v>168</v>
      </c>
      <c r="J28" s="79" t="s">
        <v>168</v>
      </c>
      <c r="K28" s="53" t="s">
        <v>168</v>
      </c>
      <c r="L28" s="53" t="s">
        <v>168</v>
      </c>
    </row>
    <row r="29" spans="1:12">
      <c r="A29" s="221"/>
      <c r="B29" s="53">
        <v>8</v>
      </c>
      <c r="C29" s="77" t="s">
        <v>191</v>
      </c>
      <c r="D29" s="52" t="s">
        <v>183</v>
      </c>
      <c r="E29" s="53" t="s">
        <v>183</v>
      </c>
      <c r="F29" s="52" t="s">
        <v>183</v>
      </c>
      <c r="G29" s="54" t="s">
        <v>183</v>
      </c>
      <c r="H29" s="53" t="s">
        <v>181</v>
      </c>
      <c r="I29" s="78" t="s">
        <v>183</v>
      </c>
      <c r="J29" s="79" t="s">
        <v>183</v>
      </c>
      <c r="K29" s="53" t="s">
        <v>183</v>
      </c>
      <c r="L29" s="53" t="s">
        <v>183</v>
      </c>
    </row>
    <row r="30" spans="1:12">
      <c r="A30" s="221"/>
      <c r="B30" s="53">
        <v>9</v>
      </c>
      <c r="C30" s="77" t="s">
        <v>192</v>
      </c>
      <c r="D30" s="52" t="s">
        <v>183</v>
      </c>
      <c r="E30" s="53" t="s">
        <v>183</v>
      </c>
      <c r="F30" s="52" t="s">
        <v>161</v>
      </c>
      <c r="G30" s="54" t="s">
        <v>161</v>
      </c>
      <c r="H30" s="53" t="s">
        <v>161</v>
      </c>
      <c r="I30" s="89" t="s">
        <v>168</v>
      </c>
      <c r="J30" s="89" t="s">
        <v>168</v>
      </c>
      <c r="K30" s="53" t="s">
        <v>161</v>
      </c>
      <c r="L30" s="53" t="s">
        <v>161</v>
      </c>
    </row>
    <row r="31" spans="1:12" ht="25.5">
      <c r="A31" s="221"/>
      <c r="B31" s="53">
        <v>10</v>
      </c>
      <c r="C31" s="77" t="s">
        <v>193</v>
      </c>
      <c r="D31" s="52" t="s">
        <v>183</v>
      </c>
      <c r="E31" s="53" t="s">
        <v>183</v>
      </c>
      <c r="F31" s="52" t="s">
        <v>161</v>
      </c>
      <c r="G31" s="57" t="s">
        <v>194</v>
      </c>
      <c r="H31" s="53" t="s">
        <v>168</v>
      </c>
      <c r="I31" s="78" t="s">
        <v>168</v>
      </c>
      <c r="J31" s="79" t="s">
        <v>168</v>
      </c>
      <c r="K31" s="53" t="s">
        <v>168</v>
      </c>
      <c r="L31" s="53" t="s">
        <v>168</v>
      </c>
    </row>
    <row r="32" spans="1:12">
      <c r="A32" s="221"/>
      <c r="B32" s="53">
        <v>11</v>
      </c>
      <c r="C32" s="77" t="s">
        <v>195</v>
      </c>
      <c r="D32" s="52" t="s">
        <v>183</v>
      </c>
      <c r="E32" s="53" t="s">
        <v>183</v>
      </c>
      <c r="F32" s="52" t="s">
        <v>161</v>
      </c>
      <c r="G32" s="54" t="s">
        <v>161</v>
      </c>
      <c r="H32" s="53" t="s">
        <v>168</v>
      </c>
      <c r="I32" s="78" t="s">
        <v>168</v>
      </c>
      <c r="J32" s="79" t="s">
        <v>168</v>
      </c>
      <c r="K32" s="53" t="s">
        <v>168</v>
      </c>
      <c r="L32" s="53" t="s">
        <v>168</v>
      </c>
    </row>
    <row r="33" spans="1:12">
      <c r="A33" s="221"/>
      <c r="B33" s="53">
        <v>12</v>
      </c>
      <c r="C33" s="77" t="s">
        <v>196</v>
      </c>
      <c r="D33" s="52" t="s">
        <v>183</v>
      </c>
      <c r="E33" s="53" t="s">
        <v>183</v>
      </c>
      <c r="F33" s="52" t="s">
        <v>161</v>
      </c>
      <c r="G33" s="54" t="s">
        <v>161</v>
      </c>
      <c r="H33" s="53" t="s">
        <v>168</v>
      </c>
      <c r="I33" s="78" t="s">
        <v>168</v>
      </c>
      <c r="J33" s="79" t="s">
        <v>168</v>
      </c>
      <c r="K33" s="53" t="s">
        <v>168</v>
      </c>
      <c r="L33" s="53" t="s">
        <v>168</v>
      </c>
    </row>
    <row r="34" spans="1:12">
      <c r="A34" s="221"/>
      <c r="B34" s="53">
        <v>13</v>
      </c>
      <c r="C34" s="77" t="s">
        <v>197</v>
      </c>
      <c r="D34" s="52" t="s">
        <v>183</v>
      </c>
      <c r="E34" s="53" t="s">
        <v>183</v>
      </c>
      <c r="F34" s="52" t="s">
        <v>161</v>
      </c>
      <c r="G34" s="54" t="s">
        <v>161</v>
      </c>
      <c r="H34" s="53" t="s">
        <v>161</v>
      </c>
      <c r="I34" s="78" t="s">
        <v>161</v>
      </c>
      <c r="J34" s="79" t="s">
        <v>161</v>
      </c>
      <c r="K34" s="53" t="s">
        <v>161</v>
      </c>
      <c r="L34" s="53" t="s">
        <v>161</v>
      </c>
    </row>
    <row r="35" spans="1:12">
      <c r="A35" s="221"/>
      <c r="B35" s="53">
        <v>14</v>
      </c>
      <c r="C35" s="77" t="s">
        <v>198</v>
      </c>
      <c r="D35" s="52" t="s">
        <v>181</v>
      </c>
      <c r="E35" s="53" t="s">
        <v>183</v>
      </c>
      <c r="F35" s="52" t="s">
        <v>161</v>
      </c>
      <c r="G35" s="54" t="s">
        <v>161</v>
      </c>
      <c r="H35" s="53" t="s">
        <v>161</v>
      </c>
      <c r="I35" s="78" t="s">
        <v>161</v>
      </c>
      <c r="J35" s="79" t="s">
        <v>161</v>
      </c>
      <c r="K35" s="53" t="s">
        <v>161</v>
      </c>
      <c r="L35" s="53" t="s">
        <v>161</v>
      </c>
    </row>
    <row r="36" spans="1:12" ht="26.25" thickBot="1">
      <c r="A36" s="222"/>
      <c r="B36" s="80">
        <v>15</v>
      </c>
      <c r="C36" s="90" t="s">
        <v>199</v>
      </c>
      <c r="D36" s="91" t="s">
        <v>181</v>
      </c>
      <c r="E36" s="92" t="s">
        <v>181</v>
      </c>
      <c r="F36" s="82" t="s">
        <v>168</v>
      </c>
      <c r="G36" s="83" t="s">
        <v>168</v>
      </c>
      <c r="H36" s="80" t="s">
        <v>168</v>
      </c>
      <c r="I36" s="84" t="s">
        <v>168</v>
      </c>
      <c r="J36" s="85" t="s">
        <v>168</v>
      </c>
      <c r="K36" s="80" t="s">
        <v>168</v>
      </c>
      <c r="L36" s="80" t="s">
        <v>168</v>
      </c>
    </row>
    <row r="37" spans="1:12" ht="155.25" thickBot="1">
      <c r="A37" s="93" t="s">
        <v>200</v>
      </c>
      <c r="B37" s="94">
        <v>1</v>
      </c>
      <c r="C37" s="95" t="s">
        <v>201</v>
      </c>
      <c r="D37" s="96" t="s">
        <v>181</v>
      </c>
      <c r="E37" s="94" t="s">
        <v>181</v>
      </c>
      <c r="F37" s="96" t="s">
        <v>181</v>
      </c>
      <c r="G37" s="97" t="s">
        <v>181</v>
      </c>
      <c r="H37" s="94" t="s">
        <v>181</v>
      </c>
      <c r="I37" s="98" t="s">
        <v>181</v>
      </c>
      <c r="J37" s="99" t="s">
        <v>181</v>
      </c>
      <c r="K37" s="97" t="s">
        <v>202</v>
      </c>
      <c r="L37" s="94" t="s">
        <v>181</v>
      </c>
    </row>
    <row r="38" spans="1:12">
      <c r="B38" s="100"/>
      <c r="C38" s="101" t="s">
        <v>203</v>
      </c>
    </row>
    <row r="39" spans="1:12">
      <c r="C39" s="48" t="s">
        <v>204</v>
      </c>
      <c r="D39" s="48" t="s">
        <v>205</v>
      </c>
    </row>
    <row r="40" spans="1:12">
      <c r="C40" s="48" t="s">
        <v>206</v>
      </c>
      <c r="D40" s="48" t="s">
        <v>207</v>
      </c>
    </row>
    <row r="42" spans="1:12">
      <c r="D42" s="102"/>
    </row>
    <row r="44" spans="1:12">
      <c r="C44" s="103"/>
      <c r="D44" s="103"/>
    </row>
    <row r="45" spans="1:12">
      <c r="C45" s="103"/>
      <c r="D45" s="103"/>
    </row>
  </sheetData>
  <mergeCells count="5">
    <mergeCell ref="D1:E1"/>
    <mergeCell ref="F1:H1"/>
    <mergeCell ref="I1:L1"/>
    <mergeCell ref="A6:A21"/>
    <mergeCell ref="A22:A36"/>
  </mergeCells>
  <phoneticPr fontId="1"/>
  <pageMargins left="0.2" right="0.2" top="0.38" bottom="0.35" header="0.24" footer="0.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3"/>
  <sheetViews>
    <sheetView showGridLines="0" zoomScale="80" zoomScaleNormal="80" workbookViewId="0">
      <pane xSplit="3" ySplit="10" topLeftCell="D27" activePane="bottomRight" state="frozen"/>
      <selection pane="topRight" activeCell="D1" sqref="D1"/>
      <selection pane="bottomLeft" activeCell="A10" sqref="A10"/>
      <selection pane="bottomRight" activeCell="B32" sqref="B32"/>
    </sheetView>
  </sheetViews>
  <sheetFormatPr defaultColWidth="60" defaultRowHeight="13.5"/>
  <cols>
    <col min="1" max="1" width="3.75" bestFit="1" customWidth="1"/>
    <col min="2" max="2" width="3.375" bestFit="1" customWidth="1"/>
    <col min="3" max="3" width="31.375" bestFit="1" customWidth="1"/>
    <col min="4" max="4" width="18.375" customWidth="1"/>
    <col min="5" max="5" width="12.25" customWidth="1"/>
    <col min="6" max="6" width="15.25" bestFit="1" customWidth="1"/>
    <col min="7" max="7" width="6.125" bestFit="1" customWidth="1"/>
    <col min="8" max="8" width="15.25" bestFit="1" customWidth="1"/>
    <col min="9" max="9" width="6.125" bestFit="1" customWidth="1"/>
    <col min="10" max="10" width="15.25" bestFit="1" customWidth="1"/>
    <col min="11" max="11" width="6.125" bestFit="1" customWidth="1"/>
    <col min="12" max="12" width="15.25" customWidth="1"/>
    <col min="13" max="13" width="6.125" bestFit="1" customWidth="1"/>
  </cols>
  <sheetData>
    <row r="1" spans="1:13">
      <c r="C1" s="104" t="s">
        <v>208</v>
      </c>
      <c r="D1" s="105" t="s">
        <v>209</v>
      </c>
      <c r="E1" s="224" t="s">
        <v>210</v>
      </c>
      <c r="F1" s="224"/>
      <c r="G1" s="224"/>
      <c r="H1" s="224"/>
      <c r="I1" s="224"/>
      <c r="J1" s="224"/>
      <c r="K1" s="224"/>
    </row>
    <row r="2" spans="1:13">
      <c r="C2" s="106" t="s">
        <v>211</v>
      </c>
      <c r="D2" s="34" t="s">
        <v>212</v>
      </c>
      <c r="E2" s="223" t="s">
        <v>213</v>
      </c>
      <c r="F2" s="223"/>
      <c r="G2" s="223"/>
      <c r="H2" s="223"/>
      <c r="I2" s="223"/>
      <c r="J2" s="223"/>
      <c r="K2" s="223"/>
    </row>
    <row r="3" spans="1:13">
      <c r="C3" s="106" t="s">
        <v>214</v>
      </c>
      <c r="D3" s="34" t="s">
        <v>215</v>
      </c>
      <c r="E3" s="223" t="s">
        <v>216</v>
      </c>
      <c r="F3" s="223"/>
      <c r="G3" s="223"/>
      <c r="H3" s="223"/>
      <c r="I3" s="223"/>
      <c r="J3" s="223"/>
      <c r="K3" s="223"/>
    </row>
    <row r="4" spans="1:13">
      <c r="C4" s="106" t="s">
        <v>217</v>
      </c>
      <c r="D4" s="34" t="s">
        <v>215</v>
      </c>
      <c r="E4" s="223" t="s">
        <v>218</v>
      </c>
      <c r="F4" s="223"/>
      <c r="G4" s="223"/>
      <c r="H4" s="223"/>
      <c r="I4" s="223"/>
      <c r="J4" s="223"/>
      <c r="K4" s="223"/>
    </row>
    <row r="5" spans="1:13" ht="33.75" customHeight="1">
      <c r="C5" s="106" t="s">
        <v>219</v>
      </c>
      <c r="D5" s="34" t="s">
        <v>220</v>
      </c>
      <c r="E5" s="223" t="s">
        <v>221</v>
      </c>
      <c r="F5" s="223"/>
      <c r="G5" s="223"/>
      <c r="H5" s="223"/>
      <c r="I5" s="223"/>
      <c r="J5" s="223"/>
      <c r="K5" s="223"/>
    </row>
    <row r="6" spans="1:13">
      <c r="C6" s="106" t="s">
        <v>222</v>
      </c>
      <c r="D6" s="34" t="s">
        <v>220</v>
      </c>
      <c r="E6" s="223" t="s">
        <v>223</v>
      </c>
      <c r="F6" s="223"/>
      <c r="G6" s="223"/>
      <c r="H6" s="223"/>
      <c r="I6" s="223"/>
      <c r="J6" s="223"/>
      <c r="K6" s="223"/>
    </row>
    <row r="7" spans="1:13" ht="14.25" thickBot="1"/>
    <row r="8" spans="1:13" ht="14.25" thickBot="1">
      <c r="A8" s="107"/>
      <c r="B8" s="108"/>
      <c r="C8" s="109" t="s">
        <v>224</v>
      </c>
      <c r="D8" s="225" t="s">
        <v>211</v>
      </c>
      <c r="E8" s="226"/>
      <c r="F8" s="225" t="s">
        <v>225</v>
      </c>
      <c r="G8" s="226"/>
      <c r="H8" s="225" t="s">
        <v>226</v>
      </c>
      <c r="I8" s="226"/>
      <c r="J8" s="225" t="s">
        <v>227</v>
      </c>
      <c r="K8" s="226"/>
      <c r="L8" s="225" t="s">
        <v>228</v>
      </c>
      <c r="M8" s="226"/>
    </row>
    <row r="9" spans="1:13" ht="104.45" customHeight="1">
      <c r="A9" s="110"/>
      <c r="B9" s="111"/>
      <c r="C9" s="112" t="s">
        <v>229</v>
      </c>
      <c r="D9" s="227" t="s">
        <v>230</v>
      </c>
      <c r="E9" s="228"/>
      <c r="F9" s="227" t="s">
        <v>231</v>
      </c>
      <c r="G9" s="228"/>
      <c r="H9" s="227" t="s">
        <v>232</v>
      </c>
      <c r="I9" s="228"/>
      <c r="J9" s="227" t="s">
        <v>233</v>
      </c>
      <c r="K9" s="228"/>
      <c r="L9" s="227" t="s">
        <v>234</v>
      </c>
      <c r="M9" s="228"/>
    </row>
    <row r="10" spans="1:13" ht="14.25" thickBot="1">
      <c r="A10" s="113"/>
      <c r="B10" s="114"/>
      <c r="C10" s="115" t="s">
        <v>235</v>
      </c>
      <c r="D10" s="116" t="s">
        <v>236</v>
      </c>
      <c r="E10" s="117" t="s">
        <v>237</v>
      </c>
      <c r="F10" s="116" t="s">
        <v>236</v>
      </c>
      <c r="G10" s="117" t="s">
        <v>237</v>
      </c>
      <c r="H10" s="116" t="s">
        <v>236</v>
      </c>
      <c r="I10" s="117" t="s">
        <v>237</v>
      </c>
      <c r="J10" s="116" t="s">
        <v>236</v>
      </c>
      <c r="K10" s="117" t="s">
        <v>237</v>
      </c>
      <c r="L10" s="116" t="s">
        <v>236</v>
      </c>
      <c r="M10" s="117" t="s">
        <v>237</v>
      </c>
    </row>
    <row r="11" spans="1:13" ht="14.25">
      <c r="A11" s="229" t="s">
        <v>158</v>
      </c>
      <c r="B11" s="118">
        <v>1</v>
      </c>
      <c r="C11" s="119" t="s">
        <v>159</v>
      </c>
      <c r="D11" s="120" t="s">
        <v>238</v>
      </c>
      <c r="E11" s="121" t="s">
        <v>238</v>
      </c>
      <c r="F11" s="120" t="s">
        <v>238</v>
      </c>
      <c r="G11" s="121" t="s">
        <v>239</v>
      </c>
      <c r="H11" s="120" t="s">
        <v>238</v>
      </c>
      <c r="I11" s="121" t="s">
        <v>239</v>
      </c>
      <c r="J11" s="120" t="s">
        <v>238</v>
      </c>
      <c r="K11" s="121" t="s">
        <v>239</v>
      </c>
      <c r="L11" s="120" t="s">
        <v>238</v>
      </c>
      <c r="M11" s="121" t="s">
        <v>239</v>
      </c>
    </row>
    <row r="12" spans="1:13" ht="14.25">
      <c r="A12" s="218"/>
      <c r="B12" s="53">
        <v>2</v>
      </c>
      <c r="C12" s="122" t="s">
        <v>162</v>
      </c>
      <c r="D12" s="123" t="s">
        <v>238</v>
      </c>
      <c r="E12" s="124" t="s">
        <v>238</v>
      </c>
      <c r="F12" s="123" t="s">
        <v>238</v>
      </c>
      <c r="G12" s="124" t="s">
        <v>239</v>
      </c>
      <c r="H12" s="123" t="s">
        <v>238</v>
      </c>
      <c r="I12" s="124" t="s">
        <v>239</v>
      </c>
      <c r="J12" s="123" t="s">
        <v>238</v>
      </c>
      <c r="K12" s="124" t="s">
        <v>239</v>
      </c>
      <c r="L12" s="123" t="s">
        <v>238</v>
      </c>
      <c r="M12" s="124" t="s">
        <v>239</v>
      </c>
    </row>
    <row r="13" spans="1:13" ht="14.25">
      <c r="A13" s="218"/>
      <c r="B13" s="53">
        <v>3</v>
      </c>
      <c r="C13" s="122" t="s">
        <v>163</v>
      </c>
      <c r="D13" s="123" t="s">
        <v>238</v>
      </c>
      <c r="E13" s="124" t="s">
        <v>238</v>
      </c>
      <c r="F13" s="123" t="s">
        <v>238</v>
      </c>
      <c r="G13" s="124" t="s">
        <v>239</v>
      </c>
      <c r="H13" s="123" t="s">
        <v>238</v>
      </c>
      <c r="I13" s="124" t="s">
        <v>239</v>
      </c>
      <c r="J13" s="123" t="s">
        <v>238</v>
      </c>
      <c r="K13" s="124" t="s">
        <v>239</v>
      </c>
      <c r="L13" s="123" t="s">
        <v>238</v>
      </c>
      <c r="M13" s="124" t="s">
        <v>239</v>
      </c>
    </row>
    <row r="14" spans="1:13" ht="14.25">
      <c r="A14" s="218"/>
      <c r="B14" s="53">
        <v>4</v>
      </c>
      <c r="C14" s="122" t="s">
        <v>165</v>
      </c>
      <c r="D14" s="123" t="s">
        <v>238</v>
      </c>
      <c r="E14" s="124" t="s">
        <v>238</v>
      </c>
      <c r="F14" s="123" t="s">
        <v>238</v>
      </c>
      <c r="G14" s="124" t="s">
        <v>239</v>
      </c>
      <c r="H14" s="123" t="s">
        <v>238</v>
      </c>
      <c r="I14" s="124" t="s">
        <v>239</v>
      </c>
      <c r="J14" s="123" t="s">
        <v>238</v>
      </c>
      <c r="K14" s="124" t="s">
        <v>239</v>
      </c>
      <c r="L14" s="123" t="s">
        <v>238</v>
      </c>
      <c r="M14" s="124" t="s">
        <v>239</v>
      </c>
    </row>
    <row r="15" spans="1:13" ht="14.25">
      <c r="A15" s="218"/>
      <c r="B15" s="53">
        <v>5</v>
      </c>
      <c r="C15" s="125" t="s">
        <v>166</v>
      </c>
      <c r="D15" s="123" t="s">
        <v>238</v>
      </c>
      <c r="E15" s="124" t="s">
        <v>238</v>
      </c>
      <c r="F15" s="123" t="s">
        <v>238</v>
      </c>
      <c r="G15" s="124" t="s">
        <v>239</v>
      </c>
      <c r="H15" s="123" t="s">
        <v>238</v>
      </c>
      <c r="I15" s="124" t="s">
        <v>239</v>
      </c>
      <c r="J15" s="123" t="s">
        <v>238</v>
      </c>
      <c r="K15" s="124" t="s">
        <v>239</v>
      </c>
      <c r="L15" s="123" t="s">
        <v>238</v>
      </c>
      <c r="M15" s="124" t="s">
        <v>239</v>
      </c>
    </row>
    <row r="16" spans="1:13" ht="14.25">
      <c r="A16" s="218"/>
      <c r="B16" s="53">
        <v>6</v>
      </c>
      <c r="C16" s="125" t="s">
        <v>167</v>
      </c>
      <c r="D16" s="123" t="s">
        <v>238</v>
      </c>
      <c r="E16" s="124" t="s">
        <v>238</v>
      </c>
      <c r="F16" s="123" t="s">
        <v>238</v>
      </c>
      <c r="G16" s="124" t="s">
        <v>239</v>
      </c>
      <c r="H16" s="123" t="s">
        <v>238</v>
      </c>
      <c r="I16" s="124" t="s">
        <v>239</v>
      </c>
      <c r="J16" s="123" t="s">
        <v>238</v>
      </c>
      <c r="K16" s="124" t="s">
        <v>239</v>
      </c>
      <c r="L16" s="123" t="s">
        <v>239</v>
      </c>
      <c r="M16" s="126"/>
    </row>
    <row r="17" spans="1:13" ht="14.25">
      <c r="A17" s="218"/>
      <c r="B17" s="53">
        <v>7</v>
      </c>
      <c r="C17" s="125" t="s">
        <v>169</v>
      </c>
      <c r="D17" s="123" t="s">
        <v>238</v>
      </c>
      <c r="E17" s="124" t="s">
        <v>238</v>
      </c>
      <c r="F17" s="123" t="s">
        <v>238</v>
      </c>
      <c r="G17" s="124" t="s">
        <v>239</v>
      </c>
      <c r="H17" s="123" t="s">
        <v>238</v>
      </c>
      <c r="I17" s="124" t="s">
        <v>239</v>
      </c>
      <c r="J17" s="123" t="s">
        <v>238</v>
      </c>
      <c r="K17" s="124" t="s">
        <v>239</v>
      </c>
      <c r="L17" s="123" t="s">
        <v>239</v>
      </c>
      <c r="M17" s="126"/>
    </row>
    <row r="18" spans="1:13" ht="14.25">
      <c r="A18" s="218"/>
      <c r="B18" s="53">
        <v>8</v>
      </c>
      <c r="C18" s="125" t="s">
        <v>170</v>
      </c>
      <c r="D18" s="123" t="s">
        <v>238</v>
      </c>
      <c r="E18" s="124" t="s">
        <v>238</v>
      </c>
      <c r="F18" s="123" t="s">
        <v>238</v>
      </c>
      <c r="G18" s="124" t="s">
        <v>239</v>
      </c>
      <c r="H18" s="123" t="s">
        <v>238</v>
      </c>
      <c r="I18" s="124" t="s">
        <v>239</v>
      </c>
      <c r="J18" s="123" t="s">
        <v>238</v>
      </c>
      <c r="K18" s="124" t="s">
        <v>239</v>
      </c>
      <c r="L18" s="123" t="s">
        <v>239</v>
      </c>
      <c r="M18" s="126"/>
    </row>
    <row r="19" spans="1:13" ht="14.25">
      <c r="A19" s="218"/>
      <c r="B19" s="53">
        <v>9</v>
      </c>
      <c r="C19" s="125" t="s">
        <v>171</v>
      </c>
      <c r="D19" s="123" t="s">
        <v>238</v>
      </c>
      <c r="E19" s="124" t="s">
        <v>238</v>
      </c>
      <c r="F19" s="123" t="s">
        <v>238</v>
      </c>
      <c r="G19" s="124" t="s">
        <v>239</v>
      </c>
      <c r="H19" s="123" t="s">
        <v>238</v>
      </c>
      <c r="I19" s="124" t="s">
        <v>239</v>
      </c>
      <c r="J19" s="123" t="s">
        <v>238</v>
      </c>
      <c r="K19" s="124" t="s">
        <v>239</v>
      </c>
      <c r="L19" s="123" t="s">
        <v>238</v>
      </c>
      <c r="M19" s="124" t="s">
        <v>239</v>
      </c>
    </row>
    <row r="20" spans="1:13" ht="14.25">
      <c r="A20" s="218"/>
      <c r="B20" s="53">
        <v>10</v>
      </c>
      <c r="C20" s="125" t="s">
        <v>172</v>
      </c>
      <c r="D20" s="123" t="s">
        <v>238</v>
      </c>
      <c r="E20" s="124" t="s">
        <v>238</v>
      </c>
      <c r="F20" s="123" t="s">
        <v>238</v>
      </c>
      <c r="G20" s="124" t="s">
        <v>239</v>
      </c>
      <c r="H20" s="123" t="s">
        <v>238</v>
      </c>
      <c r="I20" s="124" t="s">
        <v>239</v>
      </c>
      <c r="J20" s="123" t="s">
        <v>238</v>
      </c>
      <c r="K20" s="124" t="s">
        <v>239</v>
      </c>
      <c r="L20" s="123" t="s">
        <v>239</v>
      </c>
      <c r="M20" s="126"/>
    </row>
    <row r="21" spans="1:13" ht="14.25">
      <c r="A21" s="218"/>
      <c r="B21" s="53">
        <v>11</v>
      </c>
      <c r="C21" s="125" t="s">
        <v>173</v>
      </c>
      <c r="D21" s="123" t="s">
        <v>238</v>
      </c>
      <c r="E21" s="124" t="s">
        <v>238</v>
      </c>
      <c r="F21" s="123" t="s">
        <v>238</v>
      </c>
      <c r="G21" s="124" t="s">
        <v>239</v>
      </c>
      <c r="H21" s="123" t="s">
        <v>238</v>
      </c>
      <c r="I21" s="124" t="s">
        <v>239</v>
      </c>
      <c r="J21" s="123" t="s">
        <v>239</v>
      </c>
      <c r="K21" s="126"/>
      <c r="L21" s="123" t="s">
        <v>239</v>
      </c>
      <c r="M21" s="126"/>
    </row>
    <row r="22" spans="1:13" ht="14.25">
      <c r="A22" s="218"/>
      <c r="B22" s="53">
        <v>12</v>
      </c>
      <c r="C22" s="125" t="s">
        <v>174</v>
      </c>
      <c r="D22" s="123" t="s">
        <v>238</v>
      </c>
      <c r="E22" s="124" t="s">
        <v>238</v>
      </c>
      <c r="F22" s="123" t="s">
        <v>238</v>
      </c>
      <c r="G22" s="124" t="s">
        <v>239</v>
      </c>
      <c r="H22" s="123" t="s">
        <v>238</v>
      </c>
      <c r="I22" s="124" t="s">
        <v>238</v>
      </c>
      <c r="J22" s="123" t="s">
        <v>239</v>
      </c>
      <c r="K22" s="126"/>
      <c r="L22" s="123" t="s">
        <v>239</v>
      </c>
      <c r="M22" s="126"/>
    </row>
    <row r="23" spans="1:13" ht="14.25">
      <c r="A23" s="218"/>
      <c r="B23" s="53">
        <v>13</v>
      </c>
      <c r="C23" s="125" t="s">
        <v>175</v>
      </c>
      <c r="D23" s="123" t="s">
        <v>238</v>
      </c>
      <c r="E23" s="124" t="s">
        <v>238</v>
      </c>
      <c r="F23" s="123" t="s">
        <v>238</v>
      </c>
      <c r="G23" s="124" t="s">
        <v>239</v>
      </c>
      <c r="H23" s="123" t="s">
        <v>238</v>
      </c>
      <c r="I23" s="124" t="s">
        <v>239</v>
      </c>
      <c r="J23" s="123" t="s">
        <v>239</v>
      </c>
      <c r="K23" s="126"/>
      <c r="L23" s="123" t="s">
        <v>239</v>
      </c>
      <c r="M23" s="126"/>
    </row>
    <row r="24" spans="1:13" ht="14.25">
      <c r="A24" s="218"/>
      <c r="B24" s="53">
        <v>14</v>
      </c>
      <c r="C24" s="125" t="s">
        <v>176</v>
      </c>
      <c r="D24" s="123" t="s">
        <v>238</v>
      </c>
      <c r="E24" s="124" t="s">
        <v>238</v>
      </c>
      <c r="F24" s="123" t="s">
        <v>238</v>
      </c>
      <c r="G24" s="124" t="s">
        <v>239</v>
      </c>
      <c r="H24" s="123" t="s">
        <v>238</v>
      </c>
      <c r="I24" s="124" t="s">
        <v>239</v>
      </c>
      <c r="J24" s="123" t="s">
        <v>238</v>
      </c>
      <c r="K24" s="124" t="s">
        <v>239</v>
      </c>
      <c r="L24" s="123" t="s">
        <v>238</v>
      </c>
      <c r="M24" s="124" t="s">
        <v>239</v>
      </c>
    </row>
    <row r="25" spans="1:13" ht="14.25">
      <c r="A25" s="218"/>
      <c r="B25" s="53">
        <v>15</v>
      </c>
      <c r="C25" s="125" t="s">
        <v>177</v>
      </c>
      <c r="D25" s="123" t="s">
        <v>238</v>
      </c>
      <c r="E25" s="124" t="s">
        <v>238</v>
      </c>
      <c r="F25" s="123" t="s">
        <v>238</v>
      </c>
      <c r="G25" s="124" t="s">
        <v>239</v>
      </c>
      <c r="H25" s="123" t="s">
        <v>238</v>
      </c>
      <c r="I25" s="124" t="s">
        <v>239</v>
      </c>
      <c r="J25" s="123" t="s">
        <v>238</v>
      </c>
      <c r="K25" s="124" t="s">
        <v>239</v>
      </c>
      <c r="L25" s="123" t="s">
        <v>238</v>
      </c>
      <c r="M25" s="124" t="s">
        <v>239</v>
      </c>
    </row>
    <row r="26" spans="1:13" ht="14.25">
      <c r="A26" s="218"/>
      <c r="B26" s="53">
        <v>16</v>
      </c>
      <c r="C26" s="125" t="s">
        <v>178</v>
      </c>
      <c r="D26" s="123" t="s">
        <v>238</v>
      </c>
      <c r="E26" s="124" t="s">
        <v>238</v>
      </c>
      <c r="F26" s="123" t="s">
        <v>238</v>
      </c>
      <c r="G26" s="124" t="s">
        <v>239</v>
      </c>
      <c r="H26" s="123" t="s">
        <v>238</v>
      </c>
      <c r="I26" s="124" t="s">
        <v>239</v>
      </c>
      <c r="J26" s="123" t="s">
        <v>238</v>
      </c>
      <c r="K26" s="124" t="s">
        <v>239</v>
      </c>
      <c r="L26" s="123" t="s">
        <v>239</v>
      </c>
      <c r="M26" s="126"/>
    </row>
    <row r="27" spans="1:13" ht="15" thickBot="1">
      <c r="A27" s="219"/>
      <c r="B27" s="80">
        <v>17</v>
      </c>
      <c r="C27" s="127" t="s">
        <v>180</v>
      </c>
      <c r="D27" s="128" t="s">
        <v>238</v>
      </c>
      <c r="E27" s="129" t="s">
        <v>238</v>
      </c>
      <c r="F27" s="128" t="s">
        <v>238</v>
      </c>
      <c r="G27" s="129" t="s">
        <v>239</v>
      </c>
      <c r="H27" s="128" t="s">
        <v>238</v>
      </c>
      <c r="I27" s="129" t="s">
        <v>239</v>
      </c>
      <c r="J27" s="128" t="s">
        <v>238</v>
      </c>
      <c r="K27" s="129" t="s">
        <v>239</v>
      </c>
      <c r="L27" s="128" t="s">
        <v>238</v>
      </c>
      <c r="M27" s="129" t="s">
        <v>239</v>
      </c>
    </row>
    <row r="28" spans="1:13" ht="14.25">
      <c r="A28" s="230" t="s">
        <v>240</v>
      </c>
      <c r="B28" s="118">
        <v>1</v>
      </c>
      <c r="C28" s="130" t="s">
        <v>182</v>
      </c>
      <c r="D28" s="131" t="s">
        <v>238</v>
      </c>
      <c r="E28" s="132" t="s">
        <v>238</v>
      </c>
      <c r="F28" s="131" t="s">
        <v>238</v>
      </c>
      <c r="G28" s="132" t="s">
        <v>238</v>
      </c>
      <c r="H28" s="131" t="s">
        <v>238</v>
      </c>
      <c r="I28" s="132" t="s">
        <v>238</v>
      </c>
      <c r="J28" s="131" t="s">
        <v>238</v>
      </c>
      <c r="K28" s="132" t="s">
        <v>239</v>
      </c>
      <c r="L28" s="131" t="s">
        <v>238</v>
      </c>
      <c r="M28" s="132" t="s">
        <v>239</v>
      </c>
    </row>
    <row r="29" spans="1:13" ht="14.25">
      <c r="A29" s="221"/>
      <c r="B29" s="53">
        <v>2</v>
      </c>
      <c r="C29" s="122" t="s">
        <v>184</v>
      </c>
      <c r="D29" s="123" t="s">
        <v>238</v>
      </c>
      <c r="E29" s="124" t="s">
        <v>238</v>
      </c>
      <c r="F29" s="123" t="s">
        <v>238</v>
      </c>
      <c r="G29" s="124" t="s">
        <v>238</v>
      </c>
      <c r="H29" s="123" t="s">
        <v>238</v>
      </c>
      <c r="I29" s="124" t="s">
        <v>238</v>
      </c>
      <c r="J29" s="123" t="s">
        <v>238</v>
      </c>
      <c r="K29" s="124" t="s">
        <v>239</v>
      </c>
      <c r="L29" s="123" t="s">
        <v>239</v>
      </c>
      <c r="M29" s="126"/>
    </row>
    <row r="30" spans="1:13" ht="14.25">
      <c r="A30" s="221"/>
      <c r="B30" s="53">
        <v>3</v>
      </c>
      <c r="C30" s="122" t="s">
        <v>185</v>
      </c>
      <c r="D30" s="123" t="s">
        <v>238</v>
      </c>
      <c r="E30" s="124" t="s">
        <v>238</v>
      </c>
      <c r="F30" s="123" t="s">
        <v>238</v>
      </c>
      <c r="G30" s="124" t="s">
        <v>238</v>
      </c>
      <c r="H30" s="123" t="s">
        <v>238</v>
      </c>
      <c r="I30" s="124" t="s">
        <v>238</v>
      </c>
      <c r="J30" s="123" t="s">
        <v>238</v>
      </c>
      <c r="K30" s="124" t="s">
        <v>239</v>
      </c>
      <c r="L30" s="123" t="s">
        <v>238</v>
      </c>
      <c r="M30" s="124" t="s">
        <v>239</v>
      </c>
    </row>
    <row r="31" spans="1:13" ht="14.25">
      <c r="A31" s="221"/>
      <c r="B31" s="53">
        <v>4</v>
      </c>
      <c r="C31" s="122" t="s">
        <v>186</v>
      </c>
      <c r="D31" s="123" t="s">
        <v>238</v>
      </c>
      <c r="E31" s="124" t="s">
        <v>238</v>
      </c>
      <c r="F31" s="123" t="s">
        <v>238</v>
      </c>
      <c r="G31" s="124" t="s">
        <v>238</v>
      </c>
      <c r="H31" s="123" t="s">
        <v>238</v>
      </c>
      <c r="I31" s="124" t="s">
        <v>238</v>
      </c>
      <c r="J31" s="123" t="s">
        <v>238</v>
      </c>
      <c r="K31" s="124" t="s">
        <v>238</v>
      </c>
      <c r="L31" s="123" t="s">
        <v>239</v>
      </c>
      <c r="M31" s="126"/>
    </row>
    <row r="32" spans="1:13" ht="14.25">
      <c r="A32" s="221"/>
      <c r="B32" s="53">
        <v>5</v>
      </c>
      <c r="C32" s="176" t="s">
        <v>187</v>
      </c>
      <c r="D32" s="177" t="s">
        <v>238</v>
      </c>
      <c r="E32" s="178" t="s">
        <v>238</v>
      </c>
      <c r="F32" s="177" t="s">
        <v>238</v>
      </c>
      <c r="G32" s="178" t="s">
        <v>238</v>
      </c>
      <c r="H32" s="177" t="s">
        <v>238</v>
      </c>
      <c r="I32" s="178" t="s">
        <v>238</v>
      </c>
      <c r="J32" s="177" t="s">
        <v>238</v>
      </c>
      <c r="K32" s="178" t="s">
        <v>239</v>
      </c>
      <c r="L32" s="177" t="s">
        <v>238</v>
      </c>
      <c r="M32" s="178" t="s">
        <v>239</v>
      </c>
    </row>
    <row r="33" spans="1:13" ht="14.25">
      <c r="A33" s="221"/>
      <c r="B33" s="53">
        <v>6</v>
      </c>
      <c r="C33" s="122" t="s">
        <v>190</v>
      </c>
      <c r="D33" s="123" t="s">
        <v>238</v>
      </c>
      <c r="E33" s="124" t="s">
        <v>238</v>
      </c>
      <c r="F33" s="123" t="s">
        <v>238</v>
      </c>
      <c r="G33" s="124" t="s">
        <v>238</v>
      </c>
      <c r="H33" s="123" t="s">
        <v>238</v>
      </c>
      <c r="I33" s="124" t="s">
        <v>238</v>
      </c>
      <c r="J33" s="123" t="s">
        <v>238</v>
      </c>
      <c r="K33" s="124" t="s">
        <v>239</v>
      </c>
      <c r="L33" s="123" t="s">
        <v>239</v>
      </c>
      <c r="M33" s="126"/>
    </row>
    <row r="34" spans="1:13" ht="14.25">
      <c r="A34" s="221"/>
      <c r="B34" s="53">
        <v>7</v>
      </c>
      <c r="C34" s="122" t="s">
        <v>241</v>
      </c>
      <c r="D34" s="123" t="s">
        <v>238</v>
      </c>
      <c r="E34" s="124" t="s">
        <v>238</v>
      </c>
      <c r="F34" s="123" t="s">
        <v>238</v>
      </c>
      <c r="G34" s="124" t="s">
        <v>238</v>
      </c>
      <c r="H34" s="123" t="s">
        <v>238</v>
      </c>
      <c r="I34" s="124" t="s">
        <v>238</v>
      </c>
      <c r="J34" s="123" t="s">
        <v>238</v>
      </c>
      <c r="K34" s="124" t="s">
        <v>238</v>
      </c>
      <c r="L34" s="123" t="s">
        <v>238</v>
      </c>
      <c r="M34" s="124" t="s">
        <v>238</v>
      </c>
    </row>
    <row r="35" spans="1:13" ht="14.25">
      <c r="A35" s="221"/>
      <c r="B35" s="53">
        <v>8</v>
      </c>
      <c r="C35" s="122" t="s">
        <v>192</v>
      </c>
      <c r="D35" s="123" t="s">
        <v>238</v>
      </c>
      <c r="E35" s="124" t="s">
        <v>238</v>
      </c>
      <c r="F35" s="123" t="s">
        <v>238</v>
      </c>
      <c r="G35" s="124" t="s">
        <v>238</v>
      </c>
      <c r="H35" s="123" t="s">
        <v>238</v>
      </c>
      <c r="I35" s="124" t="s">
        <v>238</v>
      </c>
      <c r="J35" s="123" t="s">
        <v>238</v>
      </c>
      <c r="K35" s="124" t="s">
        <v>239</v>
      </c>
      <c r="L35" s="123" t="s">
        <v>238</v>
      </c>
      <c r="M35" s="124" t="s">
        <v>239</v>
      </c>
    </row>
    <row r="36" spans="1:13" ht="14.25">
      <c r="A36" s="221"/>
      <c r="B36" s="53">
        <v>9</v>
      </c>
      <c r="C36" s="122" t="s">
        <v>242</v>
      </c>
      <c r="D36" s="123" t="s">
        <v>238</v>
      </c>
      <c r="E36" s="124" t="s">
        <v>238</v>
      </c>
      <c r="F36" s="123" t="s">
        <v>238</v>
      </c>
      <c r="G36" s="124" t="s">
        <v>238</v>
      </c>
      <c r="H36" s="123" t="s">
        <v>238</v>
      </c>
      <c r="I36" s="124" t="s">
        <v>238</v>
      </c>
      <c r="J36" s="123" t="s">
        <v>238</v>
      </c>
      <c r="K36" s="124" t="s">
        <v>239</v>
      </c>
      <c r="L36" s="123" t="s">
        <v>239</v>
      </c>
      <c r="M36" s="126"/>
    </row>
    <row r="37" spans="1:13" ht="14.25">
      <c r="A37" s="221"/>
      <c r="B37" s="53">
        <v>10</v>
      </c>
      <c r="C37" s="122" t="s">
        <v>195</v>
      </c>
      <c r="D37" s="123" t="s">
        <v>238</v>
      </c>
      <c r="E37" s="124" t="s">
        <v>238</v>
      </c>
      <c r="F37" s="123" t="s">
        <v>238</v>
      </c>
      <c r="G37" s="124" t="s">
        <v>238</v>
      </c>
      <c r="H37" s="123" t="s">
        <v>238</v>
      </c>
      <c r="I37" s="124" t="s">
        <v>238</v>
      </c>
      <c r="J37" s="123" t="s">
        <v>238</v>
      </c>
      <c r="K37" s="124" t="s">
        <v>239</v>
      </c>
      <c r="L37" s="123" t="s">
        <v>239</v>
      </c>
      <c r="M37" s="126"/>
    </row>
    <row r="38" spans="1:13" ht="14.25">
      <c r="A38" s="221"/>
      <c r="B38" s="53">
        <v>11</v>
      </c>
      <c r="C38" s="122" t="s">
        <v>196</v>
      </c>
      <c r="D38" s="123" t="s">
        <v>238</v>
      </c>
      <c r="E38" s="124" t="s">
        <v>238</v>
      </c>
      <c r="F38" s="123" t="s">
        <v>238</v>
      </c>
      <c r="G38" s="124" t="s">
        <v>238</v>
      </c>
      <c r="H38" s="123" t="s">
        <v>238</v>
      </c>
      <c r="I38" s="124" t="s">
        <v>238</v>
      </c>
      <c r="J38" s="123" t="s">
        <v>238</v>
      </c>
      <c r="K38" s="124" t="s">
        <v>239</v>
      </c>
      <c r="L38" s="123" t="s">
        <v>239</v>
      </c>
      <c r="M38" s="126"/>
    </row>
    <row r="39" spans="1:13" ht="14.25">
      <c r="A39" s="221"/>
      <c r="B39" s="53">
        <v>12</v>
      </c>
      <c r="C39" s="122" t="s">
        <v>197</v>
      </c>
      <c r="D39" s="123" t="s">
        <v>238</v>
      </c>
      <c r="E39" s="124" t="s">
        <v>238</v>
      </c>
      <c r="F39" s="123" t="s">
        <v>238</v>
      </c>
      <c r="G39" s="124" t="s">
        <v>238</v>
      </c>
      <c r="H39" s="123" t="s">
        <v>238</v>
      </c>
      <c r="I39" s="124" t="s">
        <v>238</v>
      </c>
      <c r="J39" s="123" t="s">
        <v>238</v>
      </c>
      <c r="K39" s="124" t="s">
        <v>239</v>
      </c>
      <c r="L39" s="123" t="s">
        <v>238</v>
      </c>
      <c r="M39" s="124" t="s">
        <v>239</v>
      </c>
    </row>
    <row r="40" spans="1:13" ht="14.25">
      <c r="A40" s="221"/>
      <c r="B40" s="53">
        <v>13</v>
      </c>
      <c r="C40" s="122" t="s">
        <v>198</v>
      </c>
      <c r="D40" s="123" t="s">
        <v>238</v>
      </c>
      <c r="E40" s="124" t="s">
        <v>238</v>
      </c>
      <c r="F40" s="123" t="s">
        <v>238</v>
      </c>
      <c r="G40" s="124" t="s">
        <v>238</v>
      </c>
      <c r="H40" s="123" t="s">
        <v>238</v>
      </c>
      <c r="I40" s="124" t="s">
        <v>238</v>
      </c>
      <c r="J40" s="123" t="s">
        <v>238</v>
      </c>
      <c r="K40" s="124" t="s">
        <v>239</v>
      </c>
      <c r="L40" s="123" t="s">
        <v>238</v>
      </c>
      <c r="M40" s="124" t="s">
        <v>239</v>
      </c>
    </row>
    <row r="41" spans="1:13" ht="14.25">
      <c r="A41" s="221"/>
      <c r="B41" s="53">
        <v>14</v>
      </c>
      <c r="C41" s="133" t="s">
        <v>243</v>
      </c>
      <c r="D41" s="131" t="s">
        <v>238</v>
      </c>
      <c r="E41" s="134" t="s">
        <v>238</v>
      </c>
      <c r="F41" s="131" t="s">
        <v>238</v>
      </c>
      <c r="G41" s="134" t="s">
        <v>238</v>
      </c>
      <c r="H41" s="131" t="s">
        <v>238</v>
      </c>
      <c r="I41" s="134" t="s">
        <v>238</v>
      </c>
      <c r="J41" s="131" t="s">
        <v>238</v>
      </c>
      <c r="K41" s="124" t="s">
        <v>239</v>
      </c>
      <c r="L41" s="131" t="s">
        <v>238</v>
      </c>
      <c r="M41" s="134" t="s">
        <v>239</v>
      </c>
    </row>
    <row r="42" spans="1:13">
      <c r="A42" s="135"/>
      <c r="B42" s="53">
        <v>15</v>
      </c>
      <c r="C42" s="136" t="s">
        <v>244</v>
      </c>
      <c r="D42" s="137" t="s">
        <v>239</v>
      </c>
      <c r="E42" s="138"/>
      <c r="F42" s="137" t="s">
        <v>239</v>
      </c>
      <c r="G42" s="138"/>
      <c r="H42" s="137" t="s">
        <v>239</v>
      </c>
      <c r="I42" s="138"/>
      <c r="J42" s="137" t="s">
        <v>239</v>
      </c>
      <c r="K42" s="138"/>
      <c r="L42" s="137" t="s">
        <v>239</v>
      </c>
      <c r="M42" s="138"/>
    </row>
    <row r="43" spans="1:13" ht="14.25" thickBot="1">
      <c r="A43" s="139"/>
      <c r="B43" s="80">
        <v>16</v>
      </c>
      <c r="C43" s="140" t="s">
        <v>245</v>
      </c>
      <c r="D43" s="141" t="s">
        <v>239</v>
      </c>
      <c r="E43" s="142"/>
      <c r="F43" s="141" t="s">
        <v>239</v>
      </c>
      <c r="G43" s="142"/>
      <c r="H43" s="141" t="s">
        <v>239</v>
      </c>
      <c r="I43" s="142"/>
      <c r="J43" s="141" t="s">
        <v>239</v>
      </c>
      <c r="K43" s="142"/>
      <c r="L43" s="141" t="s">
        <v>239</v>
      </c>
      <c r="M43" s="142"/>
    </row>
  </sheetData>
  <mergeCells count="18">
    <mergeCell ref="A11:A27"/>
    <mergeCell ref="A28:A41"/>
    <mergeCell ref="D8:E8"/>
    <mergeCell ref="F8:G8"/>
    <mergeCell ref="H8:I8"/>
    <mergeCell ref="J8:K8"/>
    <mergeCell ref="L8:M8"/>
    <mergeCell ref="D9:E9"/>
    <mergeCell ref="F9:G9"/>
    <mergeCell ref="H9:I9"/>
    <mergeCell ref="J9:K9"/>
    <mergeCell ref="L9:M9"/>
    <mergeCell ref="E6:K6"/>
    <mergeCell ref="E1:K1"/>
    <mergeCell ref="E2:K2"/>
    <mergeCell ref="E3:K3"/>
    <mergeCell ref="E4:K4"/>
    <mergeCell ref="E5:K5"/>
  </mergeCells>
  <phoneticPr fontId="1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P18"/>
  <sheetViews>
    <sheetView topLeftCell="E1" zoomScale="80" zoomScaleNormal="80" workbookViewId="0">
      <selection activeCell="P10" sqref="P10"/>
    </sheetView>
  </sheetViews>
  <sheetFormatPr defaultColWidth="8.75" defaultRowHeight="14.25" customHeight="1"/>
  <cols>
    <col min="1" max="1" width="7.25" style="147" customWidth="1"/>
    <col min="2" max="2" width="10.375" style="147" bestFit="1" customWidth="1"/>
    <col min="3" max="3" width="15" style="147" customWidth="1"/>
    <col min="4" max="4" width="18.75" style="147" customWidth="1"/>
    <col min="5" max="5" width="18.125" style="147" customWidth="1"/>
    <col min="6" max="6" width="18.25" style="147" customWidth="1"/>
    <col min="7" max="7" width="12.375" style="147" bestFit="1" customWidth="1"/>
    <col min="8" max="8" width="14.75" style="147" customWidth="1"/>
    <col min="9" max="9" width="21" style="147" bestFit="1" customWidth="1"/>
    <col min="10" max="10" width="34.375" style="147" customWidth="1"/>
    <col min="11" max="11" width="20.75" style="147" customWidth="1"/>
    <col min="12" max="12" width="20.875" style="147" customWidth="1"/>
    <col min="13" max="13" width="7.375" style="147" customWidth="1"/>
    <col min="14" max="14" width="36.375" style="147" customWidth="1"/>
    <col min="15" max="15" width="8.375" style="147" bestFit="1" customWidth="1"/>
    <col min="16" max="16" width="26.375" style="147" customWidth="1"/>
    <col min="17" max="17" width="25.75" style="147" customWidth="1"/>
    <col min="18" max="18" width="10.875" style="147" bestFit="1" customWidth="1"/>
    <col min="19" max="19" width="12" style="147" bestFit="1" customWidth="1"/>
    <col min="20" max="20" width="9.375" style="147" bestFit="1" customWidth="1"/>
    <col min="21" max="21" width="7.375" style="147" bestFit="1" customWidth="1"/>
    <col min="22" max="31" width="8.75" style="147"/>
    <col min="32" max="32" width="11.25" style="147" bestFit="1" customWidth="1"/>
    <col min="33" max="33" width="8.75" style="147" bestFit="1" customWidth="1"/>
    <col min="34" max="34" width="7.375" style="147" bestFit="1" customWidth="1"/>
    <col min="35" max="16383" width="8.75" style="147"/>
    <col min="16384" max="16384" width="8.75" style="147" bestFit="1" customWidth="1"/>
  </cols>
  <sheetData>
    <row r="1" spans="1:42" s="10" customFormat="1" ht="15">
      <c r="A1" s="10" t="s">
        <v>0</v>
      </c>
    </row>
    <row r="2" spans="1:42" s="10" customFormat="1" ht="18">
      <c r="A2" s="11" t="s">
        <v>1</v>
      </c>
      <c r="J2" s="144"/>
      <c r="R2" s="150" t="s">
        <v>4</v>
      </c>
      <c r="S2" s="151"/>
      <c r="T2" s="151"/>
      <c r="U2" s="152"/>
    </row>
    <row r="3" spans="1:42" s="10" customFormat="1" ht="33" customHeight="1">
      <c r="A3" s="13" t="s">
        <v>2</v>
      </c>
      <c r="J3" s="144"/>
      <c r="R3" s="153" t="s">
        <v>6</v>
      </c>
      <c r="S3" s="154" t="s">
        <v>7</v>
      </c>
      <c r="T3" s="155" t="s">
        <v>8</v>
      </c>
      <c r="U3" s="156" t="s">
        <v>9</v>
      </c>
    </row>
    <row r="4" spans="1:42" s="10" customFormat="1" ht="18">
      <c r="A4" s="14" t="s">
        <v>3</v>
      </c>
      <c r="J4" s="144"/>
      <c r="R4" s="165">
        <f>SUM(S4:U4)</f>
        <v>0</v>
      </c>
      <c r="S4" s="166">
        <f>COUNTIF(R9:R18,"Processed")</f>
        <v>0</v>
      </c>
      <c r="T4" s="167">
        <f>COUNTIF(R9:R18,"On Hold")</f>
        <v>0</v>
      </c>
      <c r="U4" s="168">
        <f>COUNTIF(R9:R18,"Rejected")</f>
        <v>0</v>
      </c>
    </row>
    <row r="6" spans="1:42" s="10" customFormat="1" ht="17.25" customHeight="1">
      <c r="A6" s="181" t="s">
        <v>12</v>
      </c>
      <c r="B6" s="181" t="s">
        <v>6</v>
      </c>
      <c r="C6" s="184" t="s">
        <v>246</v>
      </c>
      <c r="D6" s="184" t="s">
        <v>247</v>
      </c>
      <c r="E6" s="181" t="s">
        <v>15</v>
      </c>
      <c r="F6" s="181" t="s">
        <v>16</v>
      </c>
      <c r="G6" s="184" t="s">
        <v>248</v>
      </c>
      <c r="H6" s="184" t="s">
        <v>249</v>
      </c>
      <c r="I6" s="184" t="s">
        <v>250</v>
      </c>
      <c r="J6" s="184" t="s">
        <v>251</v>
      </c>
      <c r="K6" s="184" t="s">
        <v>252</v>
      </c>
      <c r="L6" s="184" t="s">
        <v>253</v>
      </c>
      <c r="M6" s="184" t="s">
        <v>21</v>
      </c>
      <c r="N6" s="184" t="s">
        <v>254</v>
      </c>
      <c r="O6" s="184" t="s">
        <v>255</v>
      </c>
      <c r="P6" s="184" t="s">
        <v>256</v>
      </c>
      <c r="Q6" s="184" t="s">
        <v>27</v>
      </c>
      <c r="R6" s="233" t="s">
        <v>29</v>
      </c>
      <c r="S6" s="233"/>
      <c r="T6" s="233"/>
      <c r="U6" s="233"/>
      <c r="V6" s="233"/>
      <c r="W6" s="14"/>
      <c r="X6" s="163"/>
    </row>
    <row r="7" spans="1:42" s="161" customFormat="1" ht="15.75" customHeight="1">
      <c r="A7" s="182"/>
      <c r="B7" s="182"/>
      <c r="C7" s="185"/>
      <c r="D7" s="185"/>
      <c r="E7" s="182"/>
      <c r="F7" s="182"/>
      <c r="G7" s="185"/>
      <c r="H7" s="185"/>
      <c r="I7" s="187"/>
      <c r="J7" s="185"/>
      <c r="K7" s="187"/>
      <c r="L7" s="185"/>
      <c r="M7" s="185"/>
      <c r="N7" s="185"/>
      <c r="O7" s="185"/>
      <c r="P7" s="185"/>
      <c r="Q7" s="185"/>
      <c r="R7" s="231" t="s">
        <v>4</v>
      </c>
      <c r="S7" s="231" t="s">
        <v>35</v>
      </c>
      <c r="T7" s="231" t="s">
        <v>27</v>
      </c>
      <c r="U7" s="231"/>
      <c r="V7" s="231"/>
      <c r="W7" s="143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s="10" customFormat="1" ht="15" customHeight="1">
      <c r="A8" s="183"/>
      <c r="B8" s="183"/>
      <c r="C8" s="186"/>
      <c r="D8" s="186"/>
      <c r="E8" s="183"/>
      <c r="F8" s="183"/>
      <c r="G8" s="186"/>
      <c r="H8" s="186"/>
      <c r="I8" s="188"/>
      <c r="J8" s="186"/>
      <c r="K8" s="188"/>
      <c r="L8" s="186"/>
      <c r="M8" s="186"/>
      <c r="N8" s="186"/>
      <c r="O8" s="186"/>
      <c r="P8" s="186"/>
      <c r="Q8" s="186"/>
      <c r="R8" s="204"/>
      <c r="S8" s="204"/>
      <c r="T8" s="231"/>
      <c r="U8" s="232"/>
      <c r="V8" s="231"/>
      <c r="W8" s="143"/>
    </row>
    <row r="9" spans="1:42" s="10" customFormat="1" ht="16.5" customHeight="1">
      <c r="A9" s="2">
        <v>1</v>
      </c>
      <c r="B9" s="12"/>
      <c r="C9" s="12"/>
      <c r="D9" s="145"/>
      <c r="E9" s="16"/>
      <c r="F9" s="16"/>
      <c r="G9" s="12"/>
      <c r="H9" s="17"/>
      <c r="I9" s="17"/>
      <c r="J9" s="17"/>
      <c r="K9" s="17"/>
      <c r="L9" s="17"/>
      <c r="M9" s="146"/>
      <c r="N9" s="12"/>
      <c r="O9" s="17"/>
      <c r="P9" s="17"/>
      <c r="Q9" s="3"/>
      <c r="R9" s="3"/>
      <c r="S9" s="3"/>
      <c r="T9" s="194"/>
      <c r="U9" s="195"/>
      <c r="V9" s="196"/>
    </row>
    <row r="10" spans="1:42" s="10" customFormat="1" ht="16.5" customHeight="1">
      <c r="A10" s="2">
        <v>2</v>
      </c>
      <c r="B10" s="12"/>
      <c r="C10" s="12"/>
      <c r="D10" s="145"/>
      <c r="E10" s="16"/>
      <c r="F10" s="16"/>
      <c r="G10" s="12"/>
      <c r="H10" s="17"/>
      <c r="I10" s="17"/>
      <c r="J10" s="17"/>
      <c r="K10" s="17"/>
      <c r="L10" s="17"/>
      <c r="M10" s="146"/>
      <c r="N10" s="12"/>
      <c r="O10" s="17"/>
      <c r="P10" s="17"/>
      <c r="Q10" s="3"/>
      <c r="R10" s="3"/>
      <c r="S10" s="3"/>
      <c r="T10" s="194"/>
      <c r="U10" s="195"/>
      <c r="V10" s="196"/>
    </row>
    <row r="11" spans="1:42" s="10" customFormat="1" ht="16.5" customHeight="1">
      <c r="A11" s="2">
        <v>3</v>
      </c>
      <c r="B11" s="12"/>
      <c r="C11" s="12"/>
      <c r="D11" s="145"/>
      <c r="E11" s="16"/>
      <c r="F11" s="16"/>
      <c r="G11" s="12"/>
      <c r="H11" s="17"/>
      <c r="I11" s="17"/>
      <c r="J11" s="17"/>
      <c r="K11" s="17"/>
      <c r="L11" s="17"/>
      <c r="M11" s="146"/>
      <c r="N11" s="12"/>
      <c r="O11" s="17"/>
      <c r="P11" s="17"/>
      <c r="Q11" s="3"/>
      <c r="R11" s="3"/>
      <c r="S11" s="3"/>
      <c r="T11" s="194"/>
      <c r="U11" s="195"/>
      <c r="V11" s="196"/>
    </row>
    <row r="12" spans="1:42" s="10" customFormat="1" ht="16.5" customHeight="1">
      <c r="A12" s="2">
        <v>4</v>
      </c>
      <c r="B12" s="12"/>
      <c r="C12" s="12"/>
      <c r="D12" s="145"/>
      <c r="E12" s="16"/>
      <c r="F12" s="16"/>
      <c r="G12" s="12"/>
      <c r="H12" s="17"/>
      <c r="I12" s="17"/>
      <c r="J12" s="17"/>
      <c r="K12" s="17"/>
      <c r="L12" s="17"/>
      <c r="M12" s="146"/>
      <c r="N12" s="12"/>
      <c r="O12" s="17"/>
      <c r="P12" s="17"/>
      <c r="Q12" s="3"/>
      <c r="R12" s="3"/>
      <c r="S12" s="3"/>
      <c r="T12" s="194"/>
      <c r="U12" s="195"/>
      <c r="V12" s="196"/>
    </row>
    <row r="13" spans="1:42" s="10" customFormat="1" ht="16.5" customHeight="1">
      <c r="A13" s="2">
        <v>5</v>
      </c>
      <c r="B13" s="12"/>
      <c r="C13" s="12"/>
      <c r="D13" s="145"/>
      <c r="E13" s="16"/>
      <c r="F13" s="16"/>
      <c r="G13" s="12"/>
      <c r="H13" s="17"/>
      <c r="I13" s="17"/>
      <c r="J13" s="17"/>
      <c r="K13" s="17"/>
      <c r="L13" s="17"/>
      <c r="M13" s="146"/>
      <c r="N13" s="12"/>
      <c r="O13" s="17"/>
      <c r="P13" s="17"/>
      <c r="Q13" s="3"/>
      <c r="R13" s="3"/>
      <c r="S13" s="3"/>
      <c r="T13" s="194"/>
      <c r="U13" s="195"/>
      <c r="V13" s="196"/>
    </row>
    <row r="14" spans="1:42" s="10" customFormat="1" ht="16.5" customHeight="1">
      <c r="A14" s="2">
        <v>6</v>
      </c>
      <c r="B14" s="12"/>
      <c r="C14" s="12"/>
      <c r="D14" s="145"/>
      <c r="E14" s="16"/>
      <c r="F14" s="16"/>
      <c r="G14" s="12"/>
      <c r="H14" s="17"/>
      <c r="I14" s="17"/>
      <c r="J14" s="17"/>
      <c r="K14" s="17"/>
      <c r="L14" s="17"/>
      <c r="M14" s="146"/>
      <c r="N14" s="12"/>
      <c r="O14" s="17"/>
      <c r="P14" s="17"/>
      <c r="Q14" s="3"/>
      <c r="R14" s="3"/>
      <c r="S14" s="3"/>
      <c r="T14" s="194"/>
      <c r="U14" s="195"/>
      <c r="V14" s="196"/>
    </row>
    <row r="15" spans="1:42" s="10" customFormat="1" ht="16.5" customHeight="1">
      <c r="A15" s="2">
        <v>7</v>
      </c>
      <c r="B15" s="12"/>
      <c r="C15" s="12"/>
      <c r="D15" s="145"/>
      <c r="E15" s="16"/>
      <c r="F15" s="16"/>
      <c r="G15" s="12"/>
      <c r="H15" s="17"/>
      <c r="I15" s="17"/>
      <c r="J15" s="17"/>
      <c r="K15" s="17"/>
      <c r="L15" s="17"/>
      <c r="M15" s="146"/>
      <c r="N15" s="12"/>
      <c r="O15" s="17"/>
      <c r="P15" s="17"/>
      <c r="Q15" s="3"/>
      <c r="R15" s="3"/>
      <c r="S15" s="3"/>
      <c r="T15" s="194"/>
      <c r="U15" s="195"/>
      <c r="V15" s="196"/>
    </row>
    <row r="16" spans="1:42" s="10" customFormat="1" ht="16.5" customHeight="1">
      <c r="A16" s="2">
        <v>8</v>
      </c>
      <c r="B16" s="12"/>
      <c r="C16" s="12"/>
      <c r="D16" s="145"/>
      <c r="E16" s="16"/>
      <c r="F16" s="16"/>
      <c r="G16" s="12"/>
      <c r="H16" s="17"/>
      <c r="I16" s="17"/>
      <c r="J16" s="17"/>
      <c r="K16" s="17"/>
      <c r="L16" s="17"/>
      <c r="M16" s="146"/>
      <c r="N16" s="12"/>
      <c r="O16" s="17"/>
      <c r="P16" s="17"/>
      <c r="Q16" s="3"/>
      <c r="R16" s="3"/>
      <c r="S16" s="3"/>
      <c r="T16" s="194"/>
      <c r="U16" s="195"/>
      <c r="V16" s="196"/>
    </row>
    <row r="17" spans="1:22" s="10" customFormat="1" ht="16.5" customHeight="1">
      <c r="A17" s="2">
        <v>9</v>
      </c>
      <c r="B17" s="12"/>
      <c r="C17" s="12"/>
      <c r="D17" s="145"/>
      <c r="E17" s="16"/>
      <c r="F17" s="16"/>
      <c r="G17" s="12"/>
      <c r="H17" s="17"/>
      <c r="I17" s="17"/>
      <c r="J17" s="17"/>
      <c r="K17" s="17"/>
      <c r="L17" s="17"/>
      <c r="M17" s="146"/>
      <c r="N17" s="12"/>
      <c r="O17" s="17"/>
      <c r="P17" s="17"/>
      <c r="Q17" s="3"/>
      <c r="R17" s="3"/>
      <c r="S17" s="3"/>
      <c r="T17" s="194"/>
      <c r="U17" s="195"/>
      <c r="V17" s="196"/>
    </row>
    <row r="18" spans="1:22" s="10" customFormat="1" ht="16.5" customHeight="1">
      <c r="A18" s="2">
        <v>10</v>
      </c>
      <c r="B18" s="12"/>
      <c r="C18" s="12"/>
      <c r="D18" s="145"/>
      <c r="E18" s="16"/>
      <c r="F18" s="16"/>
      <c r="G18" s="12"/>
      <c r="H18" s="17"/>
      <c r="I18" s="17"/>
      <c r="J18" s="17"/>
      <c r="K18" s="17"/>
      <c r="L18" s="17"/>
      <c r="M18" s="146"/>
      <c r="N18" s="12"/>
      <c r="O18" s="17"/>
      <c r="P18" s="17"/>
      <c r="Q18" s="3"/>
      <c r="R18" s="3"/>
      <c r="S18" s="3"/>
      <c r="T18" s="194"/>
      <c r="U18" s="195"/>
      <c r="V18" s="196"/>
    </row>
  </sheetData>
  <mergeCells count="31">
    <mergeCell ref="T14:V14"/>
    <mergeCell ref="T15:V15"/>
    <mergeCell ref="T16:V16"/>
    <mergeCell ref="T17:V17"/>
    <mergeCell ref="T18:V18"/>
    <mergeCell ref="T9:V9"/>
    <mergeCell ref="T10:V10"/>
    <mergeCell ref="T11:V11"/>
    <mergeCell ref="T12:V12"/>
    <mergeCell ref="T13:V13"/>
    <mergeCell ref="T7:V8"/>
    <mergeCell ref="R6:V6"/>
    <mergeCell ref="O6:O8"/>
    <mergeCell ref="P6:P8"/>
    <mergeCell ref="M6:M8"/>
    <mergeCell ref="N6:N8"/>
    <mergeCell ref="Q6:Q8"/>
    <mergeCell ref="R7:R8"/>
    <mergeCell ref="S7:S8"/>
    <mergeCell ref="L6:L8"/>
    <mergeCell ref="H6:H8"/>
    <mergeCell ref="I6:I8"/>
    <mergeCell ref="K6:K8"/>
    <mergeCell ref="A6:A8"/>
    <mergeCell ref="B6:B8"/>
    <mergeCell ref="C6:C8"/>
    <mergeCell ref="E6:E8"/>
    <mergeCell ref="F6:F8"/>
    <mergeCell ref="G6:G8"/>
    <mergeCell ref="D6:D8"/>
    <mergeCell ref="J6:J8"/>
  </mergeCells>
  <phoneticPr fontId="1"/>
  <conditionalFormatting sqref="B9:C18">
    <cfRule type="containsBlanks" dxfId="12" priority="16">
      <formula>LEN(TRIM(B9))=0</formula>
    </cfRule>
  </conditionalFormatting>
  <conditionalFormatting sqref="D9:D18">
    <cfRule type="expression" dxfId="11" priority="13">
      <formula>OR(AND(D9="",B9="Update"),AND(D9="",B9="Delete"))</formula>
    </cfRule>
  </conditionalFormatting>
  <conditionalFormatting sqref="E9:F18">
    <cfRule type="containsBlanks" dxfId="10" priority="11">
      <formula>LEN(TRIM(E9))=0</formula>
    </cfRule>
  </conditionalFormatting>
  <conditionalFormatting sqref="G9:G18">
    <cfRule type="expression" dxfId="9" priority="10">
      <formula>OR(AND(G9="",B9="Create"),AND(G9="",B9="Update"))</formula>
    </cfRule>
  </conditionalFormatting>
  <conditionalFormatting sqref="H9:H18">
    <cfRule type="expression" dxfId="8" priority="9">
      <formula>OR(AND(H9="",B9="Create"),AND(H9="",B9="Update"))</formula>
    </cfRule>
  </conditionalFormatting>
  <conditionalFormatting sqref="I9:I18">
    <cfRule type="expression" dxfId="7" priority="7">
      <formula>OR(AND(I9="",B9="Create",G9="KWE User"),AND(I9="",B9="Create",G9="Partner"),AND(I9="",B9="Update",G9="KWE User"),AND(I9="",B9="Update",G9="Partner"))</formula>
    </cfRule>
  </conditionalFormatting>
  <conditionalFormatting sqref="J9:J18">
    <cfRule type="expression" dxfId="6" priority="8">
      <formula>OR(AND(J9="",B9="Create",G9="KWE User"),AND(J9="",B9="Create",G9="Partner"),AND(J9="",B9="Update",G9="KWE User"),AND(J9="",B9="Update",G9="Partner"))</formula>
    </cfRule>
  </conditionalFormatting>
  <conditionalFormatting sqref="K9:L18">
    <cfRule type="expression" dxfId="5" priority="6">
      <formula>OR(AND(K9="",B9="Create",G9="Customer"),AND(K9="",B9="Update",G9="Customer"))</formula>
    </cfRule>
  </conditionalFormatting>
  <conditionalFormatting sqref="L9:L18">
    <cfRule type="expression" dxfId="4" priority="5">
      <formula>OR(AND(L9="",B9="Create",G9="Customer"),AND(L9="",B9="Update",G9="Customer"))</formula>
    </cfRule>
  </conditionalFormatting>
  <conditionalFormatting sqref="M9:M18">
    <cfRule type="expression" dxfId="3" priority="4">
      <formula>OR(AND(M9="",B9="Create"),AND(M9="",B9="Update"))</formula>
    </cfRule>
  </conditionalFormatting>
  <conditionalFormatting sqref="N9:N18">
    <cfRule type="expression" dxfId="2" priority="3">
      <formula>OR(AND(N9="",B9="Create"),AND(N9="",B9="Update"))</formula>
    </cfRule>
  </conditionalFormatting>
  <conditionalFormatting sqref="P9:P18">
    <cfRule type="expression" dxfId="1" priority="1">
      <formula>AND(P9="",B9="Create")</formula>
    </cfRule>
  </conditionalFormatting>
  <conditionalFormatting sqref="Q9:Q18">
    <cfRule type="expression" dxfId="0" priority="2">
      <formula>AND(Q9="",B9="Update")</formula>
    </cfRule>
  </conditionalFormatting>
  <dataValidations count="6">
    <dataValidation type="list" allowBlank="1" showInputMessage="1" showErrorMessage="1" sqref="G9:G18">
      <formula1>user_type</formula1>
    </dataValidation>
    <dataValidation type="list" allowBlank="1" showInputMessage="1" showErrorMessage="1" sqref="B9:B18">
      <formula1>request</formula1>
    </dataValidation>
    <dataValidation type="list" allowBlank="1" showInputMessage="1" showErrorMessage="1" sqref="R9:R18">
      <formula1>status</formula1>
    </dataValidation>
    <dataValidation type="list" allowBlank="1" showInputMessage="1" showErrorMessage="1" sqref="N9:N18">
      <formula1>"CPM,Warehouse,Warehouse Light,Sales Office,Customer for Search,Customer for Order,Customer for Order and ASN,Customer for Inventory Search Only,Customer for order ASN and Profile"</formula1>
    </dataValidation>
    <dataValidation type="list" allowBlank="1" showInputMessage="1" showErrorMessage="1" sqref="C9:C18">
      <formula1>"PR,PS"</formula1>
    </dataValidation>
    <dataValidation type="whole" imeMode="halfAlpha" allowBlank="1" showInputMessage="1" showErrorMessage="1" errorTitle="Input error" error="Please state Partner ID as a 4-digit number. " sqref="H9:H18">
      <formula1>1000</formula1>
      <formula2>9999</formula2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'Time Zone List'!$A$1:$A$45</xm:f>
          </x14:formula1>
          <xm:sqref>M9:M18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26" defaultRowHeight="13.5"/>
  <cols>
    <col min="1" max="1" width="27.875" bestFit="1" customWidth="1"/>
    <col min="2" max="2" width="31" customWidth="1"/>
    <col min="3" max="3" width="30.375" bestFit="1" customWidth="1"/>
    <col min="4" max="5" width="30" bestFit="1" customWidth="1"/>
    <col min="6" max="7" width="29.125" bestFit="1" customWidth="1"/>
    <col min="8" max="10" width="26" customWidth="1"/>
  </cols>
  <sheetData>
    <row r="1" spans="1:11" ht="25.5">
      <c r="A1" s="19" t="s">
        <v>257</v>
      </c>
      <c r="B1" s="19" t="s">
        <v>258</v>
      </c>
      <c r="C1" s="20" t="s">
        <v>259</v>
      </c>
      <c r="D1" s="20" t="s">
        <v>260</v>
      </c>
      <c r="E1" s="41" t="s">
        <v>261</v>
      </c>
      <c r="F1" s="20" t="s">
        <v>262</v>
      </c>
      <c r="G1" s="41" t="s">
        <v>263</v>
      </c>
      <c r="H1" s="41" t="s">
        <v>264</v>
      </c>
      <c r="I1" s="41" t="s">
        <v>265</v>
      </c>
      <c r="J1" s="41" t="s">
        <v>266</v>
      </c>
      <c r="K1" s="41" t="s">
        <v>267</v>
      </c>
    </row>
    <row r="2" spans="1:11" s="18" customFormat="1" ht="76.5">
      <c r="A2" s="32" t="s">
        <v>268</v>
      </c>
      <c r="B2" s="32" t="s">
        <v>269</v>
      </c>
      <c r="C2" s="33" t="s">
        <v>270</v>
      </c>
      <c r="D2" s="33" t="s">
        <v>271</v>
      </c>
      <c r="E2" s="42" t="s">
        <v>272</v>
      </c>
      <c r="F2" s="33" t="s">
        <v>273</v>
      </c>
      <c r="G2" s="42" t="s">
        <v>274</v>
      </c>
      <c r="H2" s="42" t="s">
        <v>275</v>
      </c>
      <c r="I2" s="42" t="s">
        <v>276</v>
      </c>
      <c r="J2" s="42" t="s">
        <v>277</v>
      </c>
      <c r="K2" s="43" t="s">
        <v>278</v>
      </c>
    </row>
    <row r="3" spans="1:11" ht="15">
      <c r="A3" s="24" t="s">
        <v>279</v>
      </c>
      <c r="B3" s="25"/>
      <c r="C3" s="234"/>
      <c r="D3" s="234"/>
      <c r="E3" s="234"/>
      <c r="F3" s="234"/>
      <c r="G3" s="234"/>
      <c r="H3" s="234"/>
      <c r="I3" s="234"/>
      <c r="J3" s="234"/>
      <c r="K3" s="39"/>
    </row>
    <row r="4" spans="1:11">
      <c r="A4" s="22" t="s">
        <v>280</v>
      </c>
      <c r="B4" s="22" t="s">
        <v>281</v>
      </c>
      <c r="C4" s="30" t="s">
        <v>282</v>
      </c>
      <c r="D4" s="30" t="s">
        <v>282</v>
      </c>
      <c r="E4" s="30"/>
      <c r="F4" s="30" t="s">
        <v>282</v>
      </c>
      <c r="G4" s="22"/>
      <c r="H4" s="22"/>
      <c r="I4" s="22"/>
      <c r="J4" s="22"/>
      <c r="K4" s="22"/>
    </row>
    <row r="5" spans="1:11">
      <c r="A5" s="22" t="s">
        <v>283</v>
      </c>
      <c r="B5" s="22" t="s">
        <v>284</v>
      </c>
      <c r="C5" s="23"/>
      <c r="D5" s="30" t="s">
        <v>282</v>
      </c>
      <c r="E5" s="30"/>
      <c r="F5" s="23"/>
      <c r="G5" s="23"/>
      <c r="H5" s="23"/>
      <c r="I5" s="23"/>
      <c r="J5" s="23"/>
      <c r="K5" s="23"/>
    </row>
    <row r="6" spans="1:11" ht="15">
      <c r="A6" s="24" t="s">
        <v>285</v>
      </c>
      <c r="B6" s="25"/>
      <c r="C6" s="239"/>
      <c r="D6" s="239"/>
      <c r="E6" s="239"/>
      <c r="F6" s="239"/>
      <c r="G6" s="239"/>
      <c r="H6" s="239"/>
      <c r="I6" s="239"/>
      <c r="J6" s="34"/>
      <c r="K6" s="34"/>
    </row>
    <row r="7" spans="1:11">
      <c r="A7" s="22" t="s">
        <v>286</v>
      </c>
      <c r="B7" s="22" t="s">
        <v>287</v>
      </c>
      <c r="C7" s="23"/>
      <c r="D7" s="23" t="s">
        <v>288</v>
      </c>
      <c r="E7" s="23" t="s">
        <v>288</v>
      </c>
      <c r="F7" s="23" t="s">
        <v>288</v>
      </c>
      <c r="G7" s="22"/>
      <c r="H7" s="22"/>
      <c r="I7" s="22"/>
      <c r="J7" s="22"/>
      <c r="K7" s="22"/>
    </row>
    <row r="8" spans="1:11" ht="15">
      <c r="A8" s="26" t="s">
        <v>289</v>
      </c>
      <c r="B8" s="26" t="s">
        <v>290</v>
      </c>
      <c r="C8" s="237"/>
      <c r="D8" s="237"/>
      <c r="E8" s="237"/>
      <c r="F8" s="237"/>
      <c r="G8" s="237"/>
      <c r="H8" s="237"/>
      <c r="I8" s="237"/>
      <c r="J8" s="237"/>
      <c r="K8" s="38"/>
    </row>
    <row r="9" spans="1:11">
      <c r="A9" s="22" t="s">
        <v>291</v>
      </c>
      <c r="B9" s="22" t="s">
        <v>292</v>
      </c>
      <c r="C9" s="23"/>
      <c r="D9" s="23"/>
      <c r="E9" s="23"/>
      <c r="F9" s="22"/>
      <c r="G9" s="22"/>
      <c r="H9" s="22"/>
      <c r="I9" s="22"/>
      <c r="J9" s="22"/>
      <c r="K9" s="22"/>
    </row>
    <row r="10" spans="1:11">
      <c r="A10" s="22" t="s">
        <v>293</v>
      </c>
      <c r="B10" s="22" t="s">
        <v>294</v>
      </c>
      <c r="C10" s="23"/>
      <c r="D10" s="22"/>
      <c r="E10" s="22"/>
      <c r="F10" s="22"/>
      <c r="G10" s="22"/>
      <c r="H10" s="22"/>
      <c r="I10" s="22"/>
      <c r="J10" s="22"/>
      <c r="K10" s="22"/>
    </row>
    <row r="11" spans="1:11" ht="15">
      <c r="A11" s="24" t="s">
        <v>295</v>
      </c>
      <c r="B11" s="25"/>
      <c r="C11" s="234"/>
      <c r="D11" s="234"/>
      <c r="E11" s="234"/>
      <c r="F11" s="234"/>
      <c r="G11" s="234"/>
      <c r="H11" s="234"/>
      <c r="I11" s="234"/>
      <c r="J11" s="234"/>
      <c r="K11" s="39"/>
    </row>
    <row r="12" spans="1:11">
      <c r="A12" s="22" t="s">
        <v>296</v>
      </c>
      <c r="B12" s="22" t="s">
        <v>297</v>
      </c>
      <c r="C12" s="23"/>
      <c r="D12" s="23" t="s">
        <v>288</v>
      </c>
      <c r="E12" s="30" t="s">
        <v>282</v>
      </c>
      <c r="F12" s="22"/>
      <c r="G12" s="22"/>
      <c r="H12" s="22"/>
      <c r="I12" s="22"/>
      <c r="J12" s="22"/>
      <c r="K12" s="30"/>
    </row>
    <row r="13" spans="1:11">
      <c r="A13" s="22" t="s">
        <v>298</v>
      </c>
      <c r="B13" s="22" t="s">
        <v>299</v>
      </c>
      <c r="C13" s="23" t="s">
        <v>288</v>
      </c>
      <c r="D13" s="23" t="s">
        <v>288</v>
      </c>
      <c r="E13" s="23" t="s">
        <v>288</v>
      </c>
      <c r="F13" s="23" t="s">
        <v>288</v>
      </c>
      <c r="G13" s="23" t="s">
        <v>288</v>
      </c>
      <c r="H13" s="23" t="s">
        <v>288</v>
      </c>
      <c r="I13" s="23" t="s">
        <v>288</v>
      </c>
      <c r="J13" s="23"/>
      <c r="K13" s="23" t="s">
        <v>288</v>
      </c>
    </row>
    <row r="14" spans="1:11">
      <c r="A14" s="22" t="s">
        <v>300</v>
      </c>
      <c r="B14" s="22" t="s">
        <v>301</v>
      </c>
      <c r="C14" s="23"/>
      <c r="D14" s="23" t="s">
        <v>288</v>
      </c>
      <c r="E14" s="23" t="s">
        <v>288</v>
      </c>
      <c r="F14" s="22"/>
      <c r="G14" s="22"/>
      <c r="H14" s="22"/>
      <c r="I14" s="23" t="s">
        <v>288</v>
      </c>
      <c r="J14" s="23"/>
      <c r="K14" s="23" t="s">
        <v>288</v>
      </c>
    </row>
    <row r="15" spans="1:11" ht="15">
      <c r="A15" s="27" t="s">
        <v>302</v>
      </c>
      <c r="B15" s="27" t="s">
        <v>303</v>
      </c>
      <c r="C15" s="235"/>
      <c r="D15" s="235"/>
      <c r="E15" s="235"/>
      <c r="F15" s="235"/>
      <c r="G15" s="235"/>
      <c r="H15" s="235"/>
      <c r="I15" s="235"/>
      <c r="J15" s="235"/>
      <c r="K15" s="36"/>
    </row>
    <row r="16" spans="1:11">
      <c r="A16" s="22" t="s">
        <v>304</v>
      </c>
      <c r="B16" s="22" t="s">
        <v>305</v>
      </c>
      <c r="C16" s="23" t="s">
        <v>288</v>
      </c>
      <c r="D16" s="23" t="s">
        <v>288</v>
      </c>
      <c r="E16" s="23" t="s">
        <v>288</v>
      </c>
      <c r="F16" s="23" t="s">
        <v>288</v>
      </c>
      <c r="G16" s="23" t="s">
        <v>288</v>
      </c>
      <c r="H16" s="23" t="s">
        <v>288</v>
      </c>
      <c r="I16" s="23" t="s">
        <v>288</v>
      </c>
      <c r="J16" s="23"/>
      <c r="K16" s="23" t="s">
        <v>288</v>
      </c>
    </row>
    <row r="17" spans="1:11">
      <c r="A17" s="22" t="s">
        <v>306</v>
      </c>
      <c r="B17" s="22" t="s">
        <v>307</v>
      </c>
      <c r="C17" s="23" t="s">
        <v>288</v>
      </c>
      <c r="D17" s="23" t="s">
        <v>288</v>
      </c>
      <c r="E17" s="23" t="s">
        <v>288</v>
      </c>
      <c r="F17" s="23" t="s">
        <v>288</v>
      </c>
      <c r="G17" s="22"/>
      <c r="H17" s="22"/>
      <c r="I17" s="22"/>
      <c r="J17" s="22"/>
      <c r="K17" s="23" t="s">
        <v>288</v>
      </c>
    </row>
    <row r="18" spans="1:11" ht="15">
      <c r="A18" s="21" t="s">
        <v>308</v>
      </c>
      <c r="B18" s="21" t="s">
        <v>309</v>
      </c>
      <c r="C18" s="238"/>
      <c r="D18" s="238"/>
      <c r="E18" s="238"/>
      <c r="F18" s="238"/>
      <c r="G18" s="238"/>
      <c r="H18" s="238"/>
      <c r="I18" s="238"/>
      <c r="J18" s="238"/>
      <c r="K18" s="40"/>
    </row>
    <row r="19" spans="1:11">
      <c r="A19" s="22" t="s">
        <v>310</v>
      </c>
      <c r="B19" s="22" t="s">
        <v>311</v>
      </c>
      <c r="C19" s="23"/>
      <c r="D19" s="23" t="s">
        <v>288</v>
      </c>
      <c r="E19" s="23" t="s">
        <v>288</v>
      </c>
      <c r="F19" s="23"/>
      <c r="G19" s="22"/>
      <c r="H19" s="22"/>
      <c r="I19" s="22"/>
      <c r="J19" s="22"/>
      <c r="K19" s="22"/>
    </row>
    <row r="20" spans="1:11">
      <c r="A20" s="22" t="s">
        <v>312</v>
      </c>
      <c r="B20" s="22" t="s">
        <v>313</v>
      </c>
      <c r="C20" s="23"/>
      <c r="D20" s="23" t="s">
        <v>288</v>
      </c>
      <c r="E20" s="23" t="s">
        <v>288</v>
      </c>
      <c r="F20" s="23"/>
      <c r="G20" s="22"/>
      <c r="H20" s="22"/>
      <c r="I20" s="22"/>
      <c r="J20" s="22"/>
      <c r="K20" s="22"/>
    </row>
    <row r="21" spans="1:11">
      <c r="A21" s="22" t="s">
        <v>314</v>
      </c>
      <c r="B21" s="22" t="s">
        <v>315</v>
      </c>
      <c r="C21" s="23"/>
      <c r="D21" s="23" t="s">
        <v>288</v>
      </c>
      <c r="E21" s="23" t="s">
        <v>288</v>
      </c>
      <c r="F21" s="23"/>
      <c r="G21" s="22"/>
      <c r="H21" s="22"/>
      <c r="I21" s="22"/>
      <c r="J21" s="22"/>
      <c r="K21" s="22"/>
    </row>
    <row r="22" spans="1:11">
      <c r="A22" s="22" t="s">
        <v>316</v>
      </c>
      <c r="B22" s="22" t="s">
        <v>317</v>
      </c>
      <c r="C22" s="23"/>
      <c r="D22" s="23" t="s">
        <v>288</v>
      </c>
      <c r="E22" s="23" t="s">
        <v>288</v>
      </c>
      <c r="F22" s="23"/>
      <c r="G22" s="22"/>
      <c r="H22" s="22"/>
      <c r="I22" s="22"/>
      <c r="J22" s="22"/>
      <c r="K22" s="22"/>
    </row>
    <row r="23" spans="1:11">
      <c r="A23" s="22" t="s">
        <v>318</v>
      </c>
      <c r="B23" s="22" t="s">
        <v>319</v>
      </c>
      <c r="C23" s="23"/>
      <c r="D23" s="23" t="s">
        <v>288</v>
      </c>
      <c r="E23" s="23" t="s">
        <v>288</v>
      </c>
      <c r="F23" s="23"/>
      <c r="G23" s="22"/>
      <c r="H23" s="22"/>
      <c r="I23" s="22"/>
      <c r="J23" s="22"/>
      <c r="K23" s="22"/>
    </row>
    <row r="24" spans="1:11">
      <c r="A24" s="22" t="s">
        <v>320</v>
      </c>
      <c r="B24" s="22" t="s">
        <v>321</v>
      </c>
      <c r="C24" s="23"/>
      <c r="D24" s="23" t="s">
        <v>288</v>
      </c>
      <c r="E24" s="23" t="s">
        <v>288</v>
      </c>
      <c r="F24" s="23"/>
      <c r="G24" s="22"/>
      <c r="H24" s="22"/>
      <c r="I24" s="22"/>
      <c r="J24" s="22"/>
      <c r="K24" s="22"/>
    </row>
    <row r="25" spans="1:11">
      <c r="A25" s="22" t="s">
        <v>322</v>
      </c>
      <c r="B25" s="22" t="s">
        <v>323</v>
      </c>
      <c r="C25" s="23"/>
      <c r="D25" s="23" t="s">
        <v>288</v>
      </c>
      <c r="E25" s="23" t="s">
        <v>288</v>
      </c>
      <c r="F25" s="23"/>
      <c r="G25" s="22"/>
      <c r="H25" s="22"/>
      <c r="I25" s="22"/>
      <c r="J25" s="22"/>
      <c r="K25" s="22"/>
    </row>
    <row r="26" spans="1:11">
      <c r="A26" s="22" t="s">
        <v>324</v>
      </c>
      <c r="B26" s="22" t="s">
        <v>325</v>
      </c>
      <c r="C26" s="23"/>
      <c r="D26" s="23" t="s">
        <v>288</v>
      </c>
      <c r="E26" s="23" t="s">
        <v>288</v>
      </c>
      <c r="F26" s="23"/>
      <c r="G26" s="22"/>
      <c r="H26" s="22"/>
      <c r="I26" s="22"/>
      <c r="J26" s="22"/>
      <c r="K26" s="22"/>
    </row>
    <row r="27" spans="1:11" ht="15">
      <c r="A27" s="27" t="s">
        <v>326</v>
      </c>
      <c r="B27" s="27" t="s">
        <v>303</v>
      </c>
      <c r="C27" s="235"/>
      <c r="D27" s="235"/>
      <c r="E27" s="235"/>
      <c r="F27" s="235"/>
      <c r="G27" s="235"/>
      <c r="H27" s="235"/>
      <c r="I27" s="235"/>
      <c r="J27" s="235"/>
      <c r="K27" s="36"/>
    </row>
    <row r="28" spans="1:11">
      <c r="A28" s="22" t="s">
        <v>327</v>
      </c>
      <c r="B28" s="22" t="s">
        <v>328</v>
      </c>
      <c r="C28" s="23" t="s">
        <v>288</v>
      </c>
      <c r="D28" s="23" t="s">
        <v>288</v>
      </c>
      <c r="E28" s="23" t="s">
        <v>288</v>
      </c>
      <c r="F28" s="23"/>
      <c r="G28" s="22"/>
      <c r="H28" s="22"/>
      <c r="I28" s="22"/>
      <c r="J28" s="22"/>
      <c r="K28" s="22"/>
    </row>
    <row r="29" spans="1:11">
      <c r="A29" s="22" t="s">
        <v>329</v>
      </c>
      <c r="B29" s="22" t="s">
        <v>330</v>
      </c>
      <c r="C29" s="23" t="s">
        <v>288</v>
      </c>
      <c r="D29" s="23" t="s">
        <v>288</v>
      </c>
      <c r="E29" s="23" t="s">
        <v>288</v>
      </c>
      <c r="F29" s="23"/>
      <c r="G29" s="23"/>
      <c r="H29" s="23"/>
      <c r="I29" s="23"/>
      <c r="J29" s="23"/>
      <c r="K29" s="23"/>
    </row>
    <row r="30" spans="1:11">
      <c r="A30" s="22" t="s">
        <v>331</v>
      </c>
      <c r="B30" s="22" t="s">
        <v>332</v>
      </c>
      <c r="C30" s="23" t="s">
        <v>288</v>
      </c>
      <c r="D30" s="23" t="s">
        <v>288</v>
      </c>
      <c r="E30" s="23" t="s">
        <v>288</v>
      </c>
      <c r="F30" s="23"/>
      <c r="G30" s="22"/>
      <c r="H30" s="22"/>
      <c r="I30" s="22"/>
      <c r="J30" s="22"/>
      <c r="K30" s="22"/>
    </row>
    <row r="31" spans="1:11" ht="15">
      <c r="A31" s="26" t="s">
        <v>333</v>
      </c>
      <c r="B31" s="26" t="s">
        <v>290</v>
      </c>
      <c r="C31" s="237"/>
      <c r="D31" s="237"/>
      <c r="E31" s="237"/>
      <c r="F31" s="237"/>
      <c r="G31" s="237"/>
      <c r="H31" s="237"/>
      <c r="I31" s="237"/>
      <c r="J31" s="237"/>
      <c r="K31" s="38"/>
    </row>
    <row r="32" spans="1:11">
      <c r="A32" s="22" t="s">
        <v>334</v>
      </c>
      <c r="B32" s="22" t="s">
        <v>335</v>
      </c>
      <c r="C32" s="23" t="s">
        <v>288</v>
      </c>
      <c r="D32" s="23"/>
      <c r="E32" s="23"/>
      <c r="F32" s="22"/>
      <c r="G32" s="22"/>
      <c r="H32" s="22"/>
      <c r="I32" s="22"/>
      <c r="J32" s="22"/>
      <c r="K32" s="22"/>
    </row>
    <row r="33" spans="1:11">
      <c r="A33" s="22" t="s">
        <v>336</v>
      </c>
      <c r="B33" s="22" t="s">
        <v>337</v>
      </c>
      <c r="C33" s="23"/>
      <c r="D33" s="22"/>
      <c r="E33" s="22"/>
      <c r="F33" s="22"/>
      <c r="G33" s="22"/>
      <c r="H33" s="22"/>
      <c r="I33" s="22"/>
      <c r="J33" s="22"/>
      <c r="K33" s="22"/>
    </row>
    <row r="34" spans="1:11" ht="15">
      <c r="A34" s="27" t="s">
        <v>338</v>
      </c>
      <c r="B34" s="27" t="s">
        <v>303</v>
      </c>
      <c r="C34" s="235"/>
      <c r="D34" s="235"/>
      <c r="E34" s="235"/>
      <c r="F34" s="235"/>
      <c r="G34" s="235"/>
      <c r="H34" s="235"/>
      <c r="I34" s="235"/>
      <c r="J34" s="235"/>
      <c r="K34" s="36"/>
    </row>
    <row r="35" spans="1:11">
      <c r="A35" s="22" t="s">
        <v>339</v>
      </c>
      <c r="B35" s="22" t="s">
        <v>340</v>
      </c>
      <c r="C35" s="23" t="s">
        <v>341</v>
      </c>
      <c r="D35" s="23" t="s">
        <v>288</v>
      </c>
      <c r="E35" s="23" t="s">
        <v>288</v>
      </c>
      <c r="F35" s="23" t="s">
        <v>288</v>
      </c>
      <c r="G35" s="23" t="s">
        <v>288</v>
      </c>
      <c r="H35" s="23" t="s">
        <v>288</v>
      </c>
      <c r="I35" s="23" t="s">
        <v>288</v>
      </c>
      <c r="J35" s="23"/>
      <c r="K35" s="23" t="s">
        <v>288</v>
      </c>
    </row>
    <row r="36" spans="1:11">
      <c r="A36" s="22" t="s">
        <v>342</v>
      </c>
      <c r="B36" s="22" t="s">
        <v>343</v>
      </c>
      <c r="C36" s="23" t="s">
        <v>341</v>
      </c>
      <c r="D36" s="23" t="s">
        <v>288</v>
      </c>
      <c r="E36" s="23" t="s">
        <v>288</v>
      </c>
      <c r="F36" s="23" t="s">
        <v>288</v>
      </c>
      <c r="G36" s="22"/>
      <c r="H36" s="22"/>
      <c r="I36" s="22"/>
      <c r="J36" s="22"/>
      <c r="K36" s="23" t="s">
        <v>288</v>
      </c>
    </row>
    <row r="37" spans="1:11" ht="15">
      <c r="A37" s="26" t="s">
        <v>344</v>
      </c>
      <c r="B37" s="26" t="s">
        <v>290</v>
      </c>
      <c r="C37" s="237"/>
      <c r="D37" s="237"/>
      <c r="E37" s="237"/>
      <c r="F37" s="237"/>
      <c r="G37" s="237"/>
      <c r="H37" s="237"/>
      <c r="I37" s="237"/>
      <c r="J37" s="237"/>
      <c r="K37" s="38"/>
    </row>
    <row r="38" spans="1:11">
      <c r="A38" s="22" t="s">
        <v>345</v>
      </c>
      <c r="B38" s="22" t="s">
        <v>346</v>
      </c>
      <c r="C38" s="23" t="s">
        <v>288</v>
      </c>
      <c r="D38" s="23"/>
      <c r="E38" s="23"/>
      <c r="F38" s="22"/>
      <c r="G38" s="22"/>
      <c r="H38" s="22"/>
      <c r="I38" s="22"/>
      <c r="J38" s="22"/>
      <c r="K38" s="22"/>
    </row>
    <row r="39" spans="1:11">
      <c r="A39" s="22" t="s">
        <v>347</v>
      </c>
      <c r="B39" s="22" t="s">
        <v>348</v>
      </c>
      <c r="C39" s="23"/>
      <c r="D39" s="22"/>
      <c r="E39" s="22"/>
      <c r="F39" s="22"/>
      <c r="G39" s="22"/>
      <c r="H39" s="22"/>
      <c r="I39" s="22"/>
      <c r="J39" s="22"/>
      <c r="K39" s="22"/>
    </row>
    <row r="40" spans="1:11" ht="15">
      <c r="A40" s="26" t="s">
        <v>349</v>
      </c>
      <c r="B40" s="26" t="s">
        <v>290</v>
      </c>
      <c r="C40" s="237"/>
      <c r="D40" s="237"/>
      <c r="E40" s="237"/>
      <c r="F40" s="237"/>
      <c r="G40" s="237"/>
      <c r="H40" s="237"/>
      <c r="I40" s="237"/>
      <c r="J40" s="237"/>
      <c r="K40" s="38"/>
    </row>
    <row r="41" spans="1:11">
      <c r="A41" s="22" t="s">
        <v>350</v>
      </c>
      <c r="B41" s="22" t="s">
        <v>351</v>
      </c>
      <c r="C41" s="30" t="s">
        <v>282</v>
      </c>
      <c r="D41" s="30"/>
      <c r="E41" s="23"/>
      <c r="F41" s="30"/>
      <c r="G41" s="22"/>
      <c r="H41" s="22"/>
      <c r="I41" s="22"/>
      <c r="J41" s="22"/>
      <c r="K41" s="22"/>
    </row>
    <row r="42" spans="1:11">
      <c r="A42" s="22" t="s">
        <v>352</v>
      </c>
      <c r="B42" s="22" t="s">
        <v>353</v>
      </c>
      <c r="C42" s="23"/>
      <c r="D42" s="22"/>
      <c r="E42" s="22"/>
      <c r="F42" s="22"/>
      <c r="G42" s="22"/>
      <c r="H42" s="22"/>
      <c r="I42" s="22"/>
      <c r="J42" s="22"/>
      <c r="K42" s="22"/>
    </row>
    <row r="43" spans="1:11" ht="15">
      <c r="A43" s="27" t="s">
        <v>354</v>
      </c>
      <c r="B43" s="27" t="s">
        <v>303</v>
      </c>
      <c r="C43" s="235"/>
      <c r="D43" s="235"/>
      <c r="E43" s="235"/>
      <c r="F43" s="235"/>
      <c r="G43" s="235"/>
      <c r="H43" s="235"/>
      <c r="I43" s="235"/>
      <c r="J43" s="235"/>
      <c r="K43" s="36"/>
    </row>
    <row r="44" spans="1:11">
      <c r="A44" s="22" t="s">
        <v>355</v>
      </c>
      <c r="B44" s="22" t="s">
        <v>356</v>
      </c>
      <c r="C44" s="23" t="s">
        <v>288</v>
      </c>
      <c r="D44" s="30" t="s">
        <v>282</v>
      </c>
      <c r="E44" s="23"/>
      <c r="F44" s="30" t="s">
        <v>282</v>
      </c>
      <c r="G44" s="22"/>
      <c r="H44" s="22"/>
      <c r="I44" s="22"/>
      <c r="J44" s="22"/>
      <c r="K44" s="22"/>
    </row>
    <row r="45" spans="1:11">
      <c r="A45" s="22" t="s">
        <v>357</v>
      </c>
      <c r="B45" s="22" t="s">
        <v>358</v>
      </c>
      <c r="C45" s="23" t="s">
        <v>288</v>
      </c>
      <c r="D45" s="22"/>
      <c r="E45" s="22"/>
      <c r="F45" s="23"/>
      <c r="G45" s="22"/>
      <c r="H45" s="22"/>
      <c r="I45" s="22"/>
      <c r="J45" s="22"/>
      <c r="K45" s="22"/>
    </row>
    <row r="46" spans="1:11" ht="15">
      <c r="A46" s="27" t="s">
        <v>359</v>
      </c>
      <c r="B46" s="27" t="s">
        <v>303</v>
      </c>
      <c r="C46" s="235"/>
      <c r="D46" s="235"/>
      <c r="E46" s="235"/>
      <c r="F46" s="235"/>
      <c r="G46" s="235"/>
      <c r="H46" s="235"/>
      <c r="I46" s="235"/>
      <c r="J46" s="235"/>
      <c r="K46" s="36"/>
    </row>
    <row r="47" spans="1:11">
      <c r="A47" s="22" t="s">
        <v>360</v>
      </c>
      <c r="B47" s="22" t="s">
        <v>361</v>
      </c>
      <c r="C47" s="23" t="s">
        <v>288</v>
      </c>
      <c r="D47" s="23" t="s">
        <v>288</v>
      </c>
      <c r="E47" s="23"/>
      <c r="F47" s="23"/>
      <c r="G47" s="22"/>
      <c r="H47" s="22"/>
      <c r="I47" s="22"/>
      <c r="J47" s="22"/>
      <c r="K47" s="22"/>
    </row>
    <row r="48" spans="1:11">
      <c r="A48" s="22" t="s">
        <v>362</v>
      </c>
      <c r="B48" s="22" t="s">
        <v>363</v>
      </c>
      <c r="C48" s="23" t="s">
        <v>288</v>
      </c>
      <c r="D48" s="23" t="s">
        <v>288</v>
      </c>
      <c r="E48" s="23"/>
      <c r="F48" s="23"/>
      <c r="G48" s="23"/>
      <c r="H48" s="23"/>
      <c r="I48" s="23"/>
      <c r="J48" s="23"/>
      <c r="K48" s="23"/>
    </row>
    <row r="49" spans="1:11" ht="15">
      <c r="A49" s="24" t="s">
        <v>364</v>
      </c>
      <c r="B49" s="24" t="s">
        <v>303</v>
      </c>
      <c r="C49" s="234"/>
      <c r="D49" s="234"/>
      <c r="E49" s="234"/>
      <c r="F49" s="234"/>
      <c r="G49" s="234"/>
      <c r="H49" s="234"/>
      <c r="I49" s="234"/>
      <c r="J49" s="234"/>
      <c r="K49" s="39"/>
    </row>
    <row r="50" spans="1:11">
      <c r="A50" s="22" t="s">
        <v>365</v>
      </c>
      <c r="B50" s="22" t="s">
        <v>366</v>
      </c>
      <c r="C50" s="23" t="s">
        <v>288</v>
      </c>
      <c r="D50" s="23" t="s">
        <v>288</v>
      </c>
      <c r="E50" s="23"/>
      <c r="F50" s="23"/>
      <c r="G50" s="22"/>
      <c r="H50" s="22"/>
      <c r="I50" s="22"/>
      <c r="J50" s="22"/>
      <c r="K50" s="22"/>
    </row>
    <row r="51" spans="1:11">
      <c r="A51" s="22" t="s">
        <v>367</v>
      </c>
      <c r="B51" s="22" t="s">
        <v>368</v>
      </c>
      <c r="C51" s="23" t="s">
        <v>288</v>
      </c>
      <c r="D51" s="23" t="s">
        <v>288</v>
      </c>
      <c r="E51" s="23"/>
      <c r="F51" s="23"/>
      <c r="G51" s="23"/>
      <c r="H51" s="23"/>
      <c r="I51" s="23"/>
      <c r="J51" s="23"/>
      <c r="K51" s="23"/>
    </row>
    <row r="52" spans="1:11">
      <c r="A52" s="22" t="s">
        <v>369</v>
      </c>
      <c r="B52" s="22" t="s">
        <v>370</v>
      </c>
      <c r="C52" s="23" t="s">
        <v>288</v>
      </c>
      <c r="D52" s="23" t="s">
        <v>288</v>
      </c>
      <c r="E52" s="23"/>
      <c r="F52" s="23"/>
      <c r="G52" s="22"/>
      <c r="H52" s="22"/>
      <c r="I52" s="22"/>
      <c r="J52" s="22"/>
      <c r="K52" s="22"/>
    </row>
    <row r="53" spans="1:11" ht="15">
      <c r="A53" s="24" t="s">
        <v>371</v>
      </c>
      <c r="B53" s="24"/>
      <c r="C53" s="234"/>
      <c r="D53" s="234"/>
      <c r="E53" s="234"/>
      <c r="F53" s="234"/>
      <c r="G53" s="234"/>
      <c r="H53" s="234"/>
      <c r="I53" s="234"/>
      <c r="J53" s="234"/>
      <c r="K53" s="39"/>
    </row>
    <row r="54" spans="1:11">
      <c r="A54" s="22" t="s">
        <v>372</v>
      </c>
      <c r="B54" s="22" t="s">
        <v>373</v>
      </c>
      <c r="C54" s="23"/>
      <c r="D54" s="23" t="s">
        <v>288</v>
      </c>
      <c r="E54" s="23"/>
      <c r="F54" s="22"/>
      <c r="G54" s="22"/>
      <c r="H54" s="22"/>
      <c r="I54" s="22"/>
      <c r="J54" s="22"/>
      <c r="K54" s="22"/>
    </row>
    <row r="55" spans="1:11">
      <c r="A55" s="22" t="s">
        <v>374</v>
      </c>
      <c r="B55" s="22" t="s">
        <v>375</v>
      </c>
      <c r="C55" s="23" t="s">
        <v>288</v>
      </c>
      <c r="D55" s="23" t="s">
        <v>288</v>
      </c>
      <c r="E55" s="23"/>
      <c r="F55" s="23" t="s">
        <v>288</v>
      </c>
      <c r="G55" s="23"/>
      <c r="H55" s="23"/>
      <c r="I55" s="23"/>
      <c r="J55" s="23"/>
      <c r="K55" s="23"/>
    </row>
    <row r="56" spans="1:11">
      <c r="A56" s="22" t="s">
        <v>376</v>
      </c>
      <c r="B56" s="22" t="s">
        <v>377</v>
      </c>
      <c r="C56" s="23"/>
      <c r="D56" s="23" t="s">
        <v>288</v>
      </c>
      <c r="E56" s="23"/>
      <c r="F56" s="22"/>
      <c r="G56" s="22"/>
      <c r="H56" s="22"/>
      <c r="I56" s="22"/>
      <c r="J56" s="22"/>
      <c r="K56" s="22"/>
    </row>
    <row r="57" spans="1:11" ht="15">
      <c r="A57" s="27" t="s">
        <v>378</v>
      </c>
      <c r="B57" s="27" t="s">
        <v>303</v>
      </c>
      <c r="C57" s="235"/>
      <c r="D57" s="235"/>
      <c r="E57" s="235"/>
      <c r="F57" s="235"/>
      <c r="G57" s="235"/>
      <c r="H57" s="235"/>
      <c r="I57" s="235"/>
      <c r="J57" s="235"/>
      <c r="K57" s="36"/>
    </row>
    <row r="58" spans="1:11">
      <c r="A58" s="22" t="s">
        <v>379</v>
      </c>
      <c r="B58" s="22" t="s">
        <v>380</v>
      </c>
      <c r="C58" s="23" t="s">
        <v>288</v>
      </c>
      <c r="D58" s="23" t="s">
        <v>288</v>
      </c>
      <c r="E58" s="23" t="s">
        <v>288</v>
      </c>
      <c r="F58" s="23" t="s">
        <v>288</v>
      </c>
      <c r="G58" s="22"/>
      <c r="H58" s="22"/>
      <c r="I58" s="22"/>
      <c r="J58" s="22"/>
      <c r="K58" s="29"/>
    </row>
    <row r="59" spans="1:11">
      <c r="A59" s="22" t="s">
        <v>381</v>
      </c>
      <c r="B59" s="22" t="s">
        <v>382</v>
      </c>
      <c r="C59" s="23" t="s">
        <v>288</v>
      </c>
      <c r="D59" s="23" t="s">
        <v>288</v>
      </c>
      <c r="E59" s="23" t="s">
        <v>288</v>
      </c>
      <c r="F59" s="23" t="s">
        <v>288</v>
      </c>
      <c r="G59" s="23"/>
      <c r="H59" s="23"/>
      <c r="I59" s="23"/>
      <c r="J59" s="23"/>
      <c r="K59" s="29"/>
    </row>
    <row r="60" spans="1:11">
      <c r="A60" s="22" t="s">
        <v>383</v>
      </c>
      <c r="B60" s="22" t="s">
        <v>384</v>
      </c>
      <c r="C60" s="23" t="s">
        <v>288</v>
      </c>
      <c r="D60" s="23" t="s">
        <v>288</v>
      </c>
      <c r="E60" s="23" t="s">
        <v>288</v>
      </c>
      <c r="F60" s="23" t="s">
        <v>288</v>
      </c>
      <c r="G60" s="22"/>
      <c r="H60" s="22"/>
      <c r="I60" s="22"/>
      <c r="J60" s="22"/>
      <c r="K60" s="29"/>
    </row>
    <row r="61" spans="1:11" ht="15">
      <c r="A61" s="24" t="s">
        <v>385</v>
      </c>
      <c r="B61" s="24"/>
      <c r="C61" s="234"/>
      <c r="D61" s="234"/>
      <c r="E61" s="234"/>
      <c r="F61" s="234"/>
      <c r="G61" s="234"/>
      <c r="H61" s="234"/>
      <c r="I61" s="234"/>
      <c r="J61" s="234"/>
      <c r="K61" s="39"/>
    </row>
    <row r="62" spans="1:11">
      <c r="A62" s="22" t="s">
        <v>386</v>
      </c>
      <c r="B62" s="22" t="s">
        <v>387</v>
      </c>
      <c r="C62" s="23"/>
      <c r="D62" s="23" t="s">
        <v>288</v>
      </c>
      <c r="E62" s="23" t="s">
        <v>288</v>
      </c>
      <c r="F62" s="22"/>
      <c r="G62" s="22"/>
      <c r="H62" s="22"/>
      <c r="I62" s="22"/>
      <c r="J62" s="22"/>
      <c r="K62" s="22"/>
    </row>
    <row r="63" spans="1:11">
      <c r="A63" s="22" t="s">
        <v>388</v>
      </c>
      <c r="B63" s="22" t="s">
        <v>389</v>
      </c>
      <c r="C63" s="23" t="s">
        <v>288</v>
      </c>
      <c r="D63" s="23" t="s">
        <v>288</v>
      </c>
      <c r="E63" s="23" t="s">
        <v>288</v>
      </c>
      <c r="F63" s="23" t="s">
        <v>288</v>
      </c>
      <c r="G63" s="23" t="s">
        <v>288</v>
      </c>
      <c r="H63" s="23" t="s">
        <v>288</v>
      </c>
      <c r="I63" s="23" t="s">
        <v>341</v>
      </c>
      <c r="J63" s="23"/>
      <c r="K63" s="23" t="s">
        <v>341</v>
      </c>
    </row>
    <row r="64" spans="1:11">
      <c r="A64" s="22" t="s">
        <v>390</v>
      </c>
      <c r="B64" s="22" t="s">
        <v>391</v>
      </c>
      <c r="C64" s="23"/>
      <c r="D64" s="23" t="s">
        <v>288</v>
      </c>
      <c r="E64" s="23" t="s">
        <v>288</v>
      </c>
      <c r="F64" s="22"/>
      <c r="G64" s="22"/>
      <c r="H64" s="22"/>
      <c r="I64" s="22"/>
      <c r="J64" s="22"/>
      <c r="K64" s="22"/>
    </row>
    <row r="65" spans="1:11" ht="15">
      <c r="A65" s="24" t="s">
        <v>392</v>
      </c>
      <c r="B65" s="24"/>
      <c r="C65" s="234"/>
      <c r="D65" s="234"/>
      <c r="E65" s="234"/>
      <c r="F65" s="234"/>
      <c r="G65" s="234"/>
      <c r="H65" s="234"/>
      <c r="I65" s="234"/>
      <c r="J65" s="234"/>
      <c r="K65" s="39"/>
    </row>
    <row r="66" spans="1:11">
      <c r="A66" s="22" t="s">
        <v>393</v>
      </c>
      <c r="B66" s="22" t="s">
        <v>394</v>
      </c>
      <c r="C66" s="23"/>
      <c r="D66" s="23" t="s">
        <v>288</v>
      </c>
      <c r="E66" s="23" t="s">
        <v>288</v>
      </c>
      <c r="F66" s="23" t="s">
        <v>288</v>
      </c>
      <c r="G66" s="22"/>
      <c r="H66" s="22"/>
      <c r="I66" s="23" t="s">
        <v>288</v>
      </c>
      <c r="J66" s="23"/>
      <c r="K66" s="23" t="s">
        <v>288</v>
      </c>
    </row>
    <row r="67" spans="1:11">
      <c r="A67" s="22" t="s">
        <v>395</v>
      </c>
      <c r="B67" s="22" t="s">
        <v>396</v>
      </c>
      <c r="C67" s="23"/>
      <c r="D67" s="23" t="s">
        <v>288</v>
      </c>
      <c r="E67" s="23" t="s">
        <v>288</v>
      </c>
      <c r="F67" s="23" t="s">
        <v>288</v>
      </c>
      <c r="G67" s="22"/>
      <c r="H67" s="22"/>
      <c r="I67" s="22"/>
      <c r="J67" s="22"/>
      <c r="K67" s="23" t="s">
        <v>288</v>
      </c>
    </row>
    <row r="68" spans="1:11">
      <c r="A68" s="22" t="s">
        <v>397</v>
      </c>
      <c r="B68" s="22" t="s">
        <v>398</v>
      </c>
      <c r="C68" s="23"/>
      <c r="D68" s="23" t="s">
        <v>288</v>
      </c>
      <c r="E68" s="23" t="s">
        <v>288</v>
      </c>
      <c r="F68" s="22"/>
      <c r="G68" s="22"/>
      <c r="H68" s="22"/>
      <c r="I68" s="22"/>
      <c r="J68" s="22"/>
      <c r="K68" s="22"/>
    </row>
    <row r="69" spans="1:11">
      <c r="A69" s="22" t="s">
        <v>399</v>
      </c>
      <c r="B69" s="22" t="s">
        <v>400</v>
      </c>
      <c r="C69" s="23"/>
      <c r="D69" s="23" t="s">
        <v>288</v>
      </c>
      <c r="E69" s="23" t="s">
        <v>288</v>
      </c>
      <c r="F69" s="23"/>
      <c r="G69" s="22"/>
      <c r="H69" s="22"/>
      <c r="I69" s="22"/>
      <c r="J69" s="22"/>
      <c r="K69" s="22"/>
    </row>
    <row r="70" spans="1:11">
      <c r="A70" s="22" t="s">
        <v>401</v>
      </c>
      <c r="B70" s="22" t="s">
        <v>402</v>
      </c>
      <c r="C70" s="23"/>
      <c r="D70" s="23" t="s">
        <v>288</v>
      </c>
      <c r="E70" s="23" t="s">
        <v>288</v>
      </c>
      <c r="F70" s="23"/>
      <c r="G70" s="22"/>
      <c r="H70" s="22"/>
      <c r="I70" s="22"/>
      <c r="J70" s="22"/>
      <c r="K70" s="22"/>
    </row>
    <row r="71" spans="1:11">
      <c r="A71" s="22" t="s">
        <v>403</v>
      </c>
      <c r="B71" s="22" t="s">
        <v>404</v>
      </c>
      <c r="C71" s="23"/>
      <c r="D71" s="23" t="s">
        <v>288</v>
      </c>
      <c r="E71" s="23" t="s">
        <v>288</v>
      </c>
      <c r="F71" s="23" t="s">
        <v>288</v>
      </c>
      <c r="G71" s="22"/>
      <c r="H71" s="23" t="s">
        <v>288</v>
      </c>
      <c r="I71" s="23" t="s">
        <v>288</v>
      </c>
      <c r="J71" s="23"/>
      <c r="K71" s="23" t="s">
        <v>288</v>
      </c>
    </row>
    <row r="72" spans="1:11">
      <c r="A72" s="22" t="s">
        <v>405</v>
      </c>
      <c r="B72" s="22" t="s">
        <v>406</v>
      </c>
      <c r="C72" s="23"/>
      <c r="D72" s="23" t="s">
        <v>288</v>
      </c>
      <c r="E72" s="23" t="s">
        <v>288</v>
      </c>
      <c r="F72" s="23" t="s">
        <v>288</v>
      </c>
      <c r="G72" s="22"/>
      <c r="H72" s="22"/>
      <c r="I72" s="22"/>
      <c r="J72" s="22"/>
      <c r="K72" s="22"/>
    </row>
    <row r="73" spans="1:11">
      <c r="A73" s="22" t="s">
        <v>407</v>
      </c>
      <c r="B73" s="22" t="s">
        <v>408</v>
      </c>
      <c r="C73" s="23"/>
      <c r="D73" s="23" t="s">
        <v>288</v>
      </c>
      <c r="E73" s="23" t="s">
        <v>288</v>
      </c>
      <c r="F73" s="23" t="s">
        <v>288</v>
      </c>
      <c r="G73" s="22"/>
      <c r="H73" s="23" t="s">
        <v>288</v>
      </c>
      <c r="I73" s="23" t="s">
        <v>288</v>
      </c>
      <c r="J73" s="23"/>
      <c r="K73" s="23" t="s">
        <v>288</v>
      </c>
    </row>
    <row r="74" spans="1:11" ht="15">
      <c r="A74" s="27" t="s">
        <v>409</v>
      </c>
      <c r="B74" s="27" t="s">
        <v>303</v>
      </c>
      <c r="C74" s="235"/>
      <c r="D74" s="235"/>
      <c r="E74" s="235"/>
      <c r="F74" s="235"/>
      <c r="G74" s="235"/>
      <c r="H74" s="235"/>
      <c r="I74" s="235"/>
      <c r="J74" s="235"/>
      <c r="K74" s="36"/>
    </row>
    <row r="75" spans="1:11">
      <c r="A75" s="22" t="s">
        <v>410</v>
      </c>
      <c r="B75" s="22" t="s">
        <v>346</v>
      </c>
      <c r="C75" s="23" t="s">
        <v>288</v>
      </c>
      <c r="D75" s="23"/>
      <c r="E75" s="23"/>
      <c r="F75" s="22"/>
      <c r="G75" s="22"/>
      <c r="H75" s="22"/>
      <c r="I75" s="22"/>
      <c r="J75" s="22"/>
      <c r="K75" s="22"/>
    </row>
    <row r="76" spans="1:11">
      <c r="A76" s="22" t="s">
        <v>411</v>
      </c>
      <c r="B76" s="22" t="s">
        <v>348</v>
      </c>
      <c r="C76" s="23" t="s">
        <v>288</v>
      </c>
      <c r="D76" s="22"/>
      <c r="E76" s="22"/>
      <c r="F76" s="22"/>
      <c r="G76" s="22"/>
      <c r="H76" s="22"/>
      <c r="I76" s="22"/>
      <c r="J76" s="22"/>
      <c r="K76" s="22"/>
    </row>
    <row r="77" spans="1:11" ht="15">
      <c r="A77" s="24" t="s">
        <v>412</v>
      </c>
      <c r="B77" s="25"/>
      <c r="C77" s="234"/>
      <c r="D77" s="234"/>
      <c r="E77" s="234"/>
      <c r="F77" s="234"/>
      <c r="G77" s="234"/>
      <c r="H77" s="234"/>
      <c r="I77" s="234"/>
      <c r="J77" s="234"/>
      <c r="K77" s="39"/>
    </row>
    <row r="78" spans="1:11">
      <c r="A78" s="22" t="s">
        <v>413</v>
      </c>
      <c r="B78" s="22" t="s">
        <v>414</v>
      </c>
      <c r="C78" s="30"/>
      <c r="D78" s="30" t="s">
        <v>282</v>
      </c>
      <c r="E78" s="30"/>
      <c r="F78" s="30"/>
      <c r="G78" s="22"/>
      <c r="H78" s="22"/>
      <c r="I78" s="22"/>
      <c r="J78" s="22"/>
      <c r="K78" s="22"/>
    </row>
    <row r="79" spans="1:11" ht="15">
      <c r="A79" s="24" t="s">
        <v>415</v>
      </c>
      <c r="B79" s="24"/>
      <c r="C79" s="234"/>
      <c r="D79" s="234"/>
      <c r="E79" s="234"/>
      <c r="F79" s="234"/>
      <c r="G79" s="234"/>
      <c r="H79" s="234"/>
      <c r="I79" s="234"/>
      <c r="J79" s="234"/>
      <c r="K79" s="39"/>
    </row>
    <row r="80" spans="1:11">
      <c r="A80" s="22" t="s">
        <v>416</v>
      </c>
      <c r="B80" s="22" t="s">
        <v>417</v>
      </c>
      <c r="C80" s="23" t="s">
        <v>288</v>
      </c>
      <c r="D80" s="23" t="s">
        <v>288</v>
      </c>
      <c r="E80" s="23" t="s">
        <v>288</v>
      </c>
      <c r="F80" s="23" t="s">
        <v>288</v>
      </c>
      <c r="G80" s="23"/>
      <c r="H80" s="23"/>
      <c r="I80" s="23"/>
      <c r="J80" s="23"/>
      <c r="K80" s="23"/>
    </row>
    <row r="81" spans="1:11">
      <c r="A81" s="22" t="s">
        <v>418</v>
      </c>
      <c r="B81" s="22" t="s">
        <v>419</v>
      </c>
      <c r="C81" s="23"/>
      <c r="D81" s="23" t="s">
        <v>288</v>
      </c>
      <c r="E81" s="23" t="s">
        <v>288</v>
      </c>
      <c r="F81" s="23"/>
      <c r="G81" s="23"/>
      <c r="H81" s="23"/>
      <c r="I81" s="23"/>
      <c r="J81" s="23"/>
      <c r="K81" s="23"/>
    </row>
    <row r="82" spans="1:11" ht="15">
      <c r="A82" s="24" t="s">
        <v>420</v>
      </c>
      <c r="B82" s="24"/>
      <c r="C82" s="234"/>
      <c r="D82" s="234"/>
      <c r="E82" s="234"/>
      <c r="F82" s="234"/>
      <c r="G82" s="234"/>
      <c r="H82" s="234"/>
      <c r="I82" s="234"/>
      <c r="J82" s="234"/>
      <c r="K82" s="39"/>
    </row>
    <row r="83" spans="1:11">
      <c r="A83" s="22" t="s">
        <v>421</v>
      </c>
      <c r="B83" s="22" t="s">
        <v>422</v>
      </c>
      <c r="C83" s="23" t="s">
        <v>288</v>
      </c>
      <c r="D83" s="23" t="s">
        <v>288</v>
      </c>
      <c r="E83" s="23" t="s">
        <v>288</v>
      </c>
      <c r="F83" s="23" t="s">
        <v>288</v>
      </c>
      <c r="G83" s="23" t="s">
        <v>341</v>
      </c>
      <c r="H83" s="23" t="s">
        <v>288</v>
      </c>
      <c r="I83" s="23" t="s">
        <v>288</v>
      </c>
      <c r="J83" s="23" t="s">
        <v>288</v>
      </c>
      <c r="K83" s="23" t="s">
        <v>288</v>
      </c>
    </row>
    <row r="84" spans="1:11" ht="15">
      <c r="A84" s="24" t="s">
        <v>423</v>
      </c>
      <c r="B84" s="24"/>
      <c r="C84" s="234"/>
      <c r="D84" s="234"/>
      <c r="E84" s="234"/>
      <c r="F84" s="234"/>
      <c r="G84" s="234"/>
      <c r="H84" s="234"/>
      <c r="I84" s="234"/>
      <c r="J84" s="234"/>
      <c r="K84" s="39"/>
    </row>
    <row r="85" spans="1:11">
      <c r="A85" s="22" t="s">
        <v>424</v>
      </c>
      <c r="B85" s="22" t="s">
        <v>425</v>
      </c>
      <c r="C85" s="23" t="s">
        <v>288</v>
      </c>
      <c r="D85" s="23" t="s">
        <v>288</v>
      </c>
      <c r="E85" s="23" t="s">
        <v>288</v>
      </c>
      <c r="F85" s="23" t="s">
        <v>288</v>
      </c>
      <c r="G85" s="23" t="s">
        <v>288</v>
      </c>
      <c r="H85" s="23" t="s">
        <v>288</v>
      </c>
      <c r="I85" s="23" t="s">
        <v>288</v>
      </c>
      <c r="J85" s="23"/>
      <c r="K85" s="23" t="s">
        <v>288</v>
      </c>
    </row>
    <row r="86" spans="1:11" ht="15">
      <c r="A86" s="24" t="s">
        <v>426</v>
      </c>
      <c r="B86" s="25"/>
      <c r="C86" s="234"/>
      <c r="D86" s="234"/>
      <c r="E86" s="234"/>
      <c r="F86" s="234"/>
      <c r="G86" s="234"/>
      <c r="H86" s="234"/>
      <c r="I86" s="234"/>
      <c r="J86" s="234"/>
      <c r="K86" s="39"/>
    </row>
    <row r="87" spans="1:11">
      <c r="A87" s="22" t="s">
        <v>427</v>
      </c>
      <c r="B87" s="22" t="s">
        <v>428</v>
      </c>
      <c r="C87" s="30" t="s">
        <v>282</v>
      </c>
      <c r="D87" s="30" t="s">
        <v>282</v>
      </c>
      <c r="E87" s="30"/>
      <c r="F87" s="30" t="s">
        <v>282</v>
      </c>
      <c r="G87" s="22"/>
      <c r="H87" s="22"/>
      <c r="I87" s="22"/>
      <c r="J87" s="22"/>
      <c r="K87" s="22"/>
    </row>
    <row r="88" spans="1:11">
      <c r="A88" s="22" t="s">
        <v>429</v>
      </c>
      <c r="B88" s="22" t="s">
        <v>430</v>
      </c>
      <c r="C88" s="23"/>
      <c r="D88" s="30" t="s">
        <v>282</v>
      </c>
      <c r="E88" s="30"/>
      <c r="F88" s="23"/>
      <c r="G88" s="23"/>
      <c r="H88" s="23"/>
      <c r="I88" s="23"/>
      <c r="J88" s="23"/>
      <c r="K88" s="23"/>
    </row>
    <row r="89" spans="1:11" ht="15">
      <c r="A89" s="27" t="s">
        <v>431</v>
      </c>
      <c r="B89" s="27" t="s">
        <v>303</v>
      </c>
      <c r="C89" s="235"/>
      <c r="D89" s="235"/>
      <c r="E89" s="235"/>
      <c r="F89" s="235"/>
      <c r="G89" s="235"/>
      <c r="H89" s="235"/>
      <c r="I89" s="235"/>
      <c r="J89" s="235"/>
      <c r="K89" s="36"/>
    </row>
    <row r="90" spans="1:11">
      <c r="A90" s="22" t="s">
        <v>432</v>
      </c>
      <c r="B90" s="22" t="s">
        <v>433</v>
      </c>
      <c r="C90" s="23" t="s">
        <v>288</v>
      </c>
      <c r="D90" s="23"/>
      <c r="E90" s="23"/>
      <c r="F90" s="22"/>
      <c r="G90" s="22"/>
      <c r="H90" s="22"/>
      <c r="I90" s="22"/>
      <c r="J90" s="22"/>
      <c r="K90" s="22"/>
    </row>
    <row r="91" spans="1:11">
      <c r="A91" s="22" t="s">
        <v>434</v>
      </c>
      <c r="B91" s="22" t="s">
        <v>435</v>
      </c>
      <c r="C91" s="23" t="s">
        <v>288</v>
      </c>
      <c r="D91" s="23"/>
      <c r="E91" s="23"/>
      <c r="F91" s="22"/>
      <c r="G91" s="22"/>
      <c r="H91" s="22"/>
      <c r="I91" s="22"/>
      <c r="J91" s="22"/>
      <c r="K91" s="22"/>
    </row>
    <row r="92" spans="1:11" ht="15">
      <c r="A92" s="24" t="s">
        <v>436</v>
      </c>
      <c r="B92" s="24"/>
      <c r="C92" s="234"/>
      <c r="D92" s="234"/>
      <c r="E92" s="234"/>
      <c r="F92" s="234"/>
      <c r="G92" s="234"/>
      <c r="H92" s="234"/>
      <c r="I92" s="234"/>
      <c r="J92" s="234"/>
      <c r="K92" s="39"/>
    </row>
    <row r="93" spans="1:11">
      <c r="A93" s="22" t="s">
        <v>437</v>
      </c>
      <c r="B93" s="22" t="s">
        <v>438</v>
      </c>
      <c r="C93" s="23"/>
      <c r="D93" s="23" t="s">
        <v>288</v>
      </c>
      <c r="E93" s="23"/>
      <c r="F93" s="22"/>
      <c r="G93" s="22"/>
      <c r="H93" s="22"/>
      <c r="I93" s="22"/>
      <c r="J93" s="22"/>
      <c r="K93" s="22"/>
    </row>
    <row r="94" spans="1:11" ht="15">
      <c r="A94" s="27" t="s">
        <v>439</v>
      </c>
      <c r="B94" s="27" t="s">
        <v>303</v>
      </c>
      <c r="C94" s="235"/>
      <c r="D94" s="235"/>
      <c r="E94" s="235"/>
      <c r="F94" s="235"/>
      <c r="G94" s="235"/>
      <c r="H94" s="235"/>
      <c r="I94" s="235"/>
      <c r="J94" s="235"/>
      <c r="K94" s="36"/>
    </row>
    <row r="95" spans="1:11">
      <c r="A95" s="22" t="s">
        <v>440</v>
      </c>
      <c r="B95" s="22" t="s">
        <v>441</v>
      </c>
      <c r="C95" s="23" t="s">
        <v>288</v>
      </c>
      <c r="D95" s="23" t="s">
        <v>288</v>
      </c>
      <c r="E95" s="23" t="s">
        <v>288</v>
      </c>
      <c r="F95" s="23"/>
      <c r="G95" s="23"/>
      <c r="H95" s="23"/>
      <c r="I95" s="23"/>
      <c r="J95" s="23"/>
      <c r="K95" s="23"/>
    </row>
    <row r="96" spans="1:11">
      <c r="A96" s="22" t="s">
        <v>442</v>
      </c>
      <c r="B96" s="22" t="s">
        <v>443</v>
      </c>
      <c r="C96" s="23" t="s">
        <v>288</v>
      </c>
      <c r="D96" s="23" t="s">
        <v>288</v>
      </c>
      <c r="E96" s="23" t="s">
        <v>288</v>
      </c>
      <c r="F96" s="22"/>
      <c r="G96" s="22"/>
      <c r="H96" s="22"/>
      <c r="I96" s="22"/>
      <c r="J96" s="22"/>
      <c r="K96" s="23"/>
    </row>
    <row r="97" spans="1:11" ht="15">
      <c r="A97" s="27" t="s">
        <v>444</v>
      </c>
      <c r="B97" s="27"/>
      <c r="C97" s="235"/>
      <c r="D97" s="235"/>
      <c r="E97" s="235"/>
      <c r="F97" s="235"/>
      <c r="G97" s="235"/>
      <c r="H97" s="235"/>
      <c r="I97" s="235"/>
      <c r="J97" s="235"/>
      <c r="K97" s="36"/>
    </row>
    <row r="98" spans="1:11">
      <c r="A98" s="22" t="s">
        <v>445</v>
      </c>
      <c r="B98" s="22" t="s">
        <v>446</v>
      </c>
      <c r="C98" s="23"/>
      <c r="D98" s="23"/>
      <c r="E98" s="23"/>
      <c r="F98" s="22"/>
      <c r="G98" s="22"/>
      <c r="H98" s="22"/>
      <c r="I98" s="22"/>
      <c r="J98" s="22"/>
      <c r="K98" s="22"/>
    </row>
    <row r="99" spans="1:11" ht="15">
      <c r="A99" s="24" t="s">
        <v>447</v>
      </c>
      <c r="B99" s="24"/>
      <c r="C99" s="234"/>
      <c r="D99" s="234"/>
      <c r="E99" s="234"/>
      <c r="F99" s="234"/>
      <c r="G99" s="234"/>
      <c r="H99" s="234"/>
      <c r="I99" s="234"/>
      <c r="J99" s="234"/>
      <c r="K99" s="39"/>
    </row>
    <row r="100" spans="1:11">
      <c r="A100" s="22" t="s">
        <v>448</v>
      </c>
      <c r="B100" s="22" t="s">
        <v>449</v>
      </c>
      <c r="C100" s="23"/>
      <c r="D100" s="23" t="s">
        <v>288</v>
      </c>
      <c r="E100" s="23" t="s">
        <v>288</v>
      </c>
      <c r="F100" s="23"/>
      <c r="G100" s="23"/>
      <c r="H100" s="23"/>
      <c r="I100" s="23"/>
      <c r="J100" s="23"/>
      <c r="K100" s="23"/>
    </row>
    <row r="101" spans="1:11">
      <c r="A101" s="22" t="s">
        <v>450</v>
      </c>
      <c r="B101" s="22" t="s">
        <v>451</v>
      </c>
      <c r="C101" s="23"/>
      <c r="D101" s="23" t="s">
        <v>288</v>
      </c>
      <c r="E101" s="23" t="s">
        <v>288</v>
      </c>
      <c r="F101" s="22"/>
      <c r="G101" s="22"/>
      <c r="H101" s="22"/>
      <c r="I101" s="22"/>
      <c r="J101" s="22"/>
      <c r="K101" s="22"/>
    </row>
    <row r="102" spans="1:11" ht="15">
      <c r="A102" s="24" t="s">
        <v>452</v>
      </c>
      <c r="B102" s="24"/>
      <c r="C102" s="234"/>
      <c r="D102" s="234"/>
      <c r="E102" s="234"/>
      <c r="F102" s="234"/>
      <c r="G102" s="234"/>
      <c r="H102" s="234"/>
      <c r="I102" s="234"/>
      <c r="J102" s="234"/>
      <c r="K102" s="39"/>
    </row>
    <row r="103" spans="1:11">
      <c r="A103" s="22" t="s">
        <v>453</v>
      </c>
      <c r="B103" s="22" t="s">
        <v>454</v>
      </c>
      <c r="C103" s="23"/>
      <c r="D103" s="23" t="s">
        <v>288</v>
      </c>
      <c r="E103" s="23" t="s">
        <v>288</v>
      </c>
      <c r="F103" s="23"/>
      <c r="G103" s="23"/>
      <c r="H103" s="23"/>
      <c r="I103" s="23"/>
      <c r="J103" s="23"/>
      <c r="K103" s="23"/>
    </row>
    <row r="104" spans="1:11">
      <c r="A104" s="22" t="s">
        <v>455</v>
      </c>
      <c r="B104" s="22" t="s">
        <v>456</v>
      </c>
      <c r="C104" s="23"/>
      <c r="D104" s="23" t="s">
        <v>288</v>
      </c>
      <c r="E104" s="23" t="s">
        <v>288</v>
      </c>
      <c r="F104" s="22"/>
      <c r="G104" s="22"/>
      <c r="H104" s="22"/>
      <c r="I104" s="22"/>
      <c r="J104" s="22"/>
      <c r="K104" s="22"/>
    </row>
    <row r="105" spans="1:11" ht="15">
      <c r="A105" s="26" t="s">
        <v>457</v>
      </c>
      <c r="B105" s="26" t="s">
        <v>290</v>
      </c>
      <c r="C105" s="237"/>
      <c r="D105" s="237"/>
      <c r="E105" s="237"/>
      <c r="F105" s="237"/>
      <c r="G105" s="237"/>
      <c r="H105" s="237"/>
      <c r="I105" s="237"/>
      <c r="J105" s="237"/>
      <c r="K105" s="38"/>
    </row>
    <row r="106" spans="1:11">
      <c r="A106" s="28" t="s">
        <v>458</v>
      </c>
      <c r="B106" s="28" t="s">
        <v>459</v>
      </c>
      <c r="C106" s="23" t="s">
        <v>288</v>
      </c>
      <c r="D106" s="31" t="s">
        <v>282</v>
      </c>
      <c r="E106" s="28"/>
      <c r="F106" s="31" t="s">
        <v>282</v>
      </c>
      <c r="G106" s="28"/>
      <c r="H106" s="28"/>
      <c r="I106" s="28"/>
      <c r="J106" s="28"/>
      <c r="K106" s="28"/>
    </row>
    <row r="107" spans="1:11">
      <c r="A107" s="22" t="s">
        <v>460</v>
      </c>
      <c r="B107" s="22" t="s">
        <v>461</v>
      </c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ht="15">
      <c r="A108" s="24" t="s">
        <v>462</v>
      </c>
      <c r="B108" s="25"/>
      <c r="C108" s="234"/>
      <c r="D108" s="234"/>
      <c r="E108" s="234"/>
      <c r="F108" s="234"/>
      <c r="G108" s="234"/>
      <c r="H108" s="234"/>
      <c r="I108" s="234"/>
      <c r="J108" s="234"/>
      <c r="K108" s="39"/>
    </row>
    <row r="109" spans="1:11">
      <c r="A109" s="22" t="s">
        <v>463</v>
      </c>
      <c r="B109" s="22" t="s">
        <v>464</v>
      </c>
      <c r="C109" s="23"/>
      <c r="D109" s="30" t="s">
        <v>282</v>
      </c>
      <c r="E109" s="30"/>
      <c r="F109" s="30"/>
      <c r="G109" s="22"/>
      <c r="H109" s="22"/>
      <c r="I109" s="22"/>
      <c r="J109" s="22"/>
      <c r="K109" s="22"/>
    </row>
    <row r="110" spans="1:11">
      <c r="A110" s="22" t="s">
        <v>465</v>
      </c>
      <c r="B110" s="22" t="s">
        <v>466</v>
      </c>
      <c r="C110" s="30" t="s">
        <v>282</v>
      </c>
      <c r="D110" s="30" t="s">
        <v>282</v>
      </c>
      <c r="E110" s="30"/>
      <c r="F110" s="30" t="s">
        <v>282</v>
      </c>
      <c r="G110" s="23"/>
      <c r="H110" s="23"/>
      <c r="I110" s="23"/>
      <c r="J110" s="23"/>
      <c r="K110" s="23"/>
    </row>
    <row r="111" spans="1:11">
      <c r="A111" s="22" t="s">
        <v>467</v>
      </c>
      <c r="B111" s="22" t="s">
        <v>468</v>
      </c>
      <c r="C111" s="23"/>
      <c r="D111" s="30" t="s">
        <v>282</v>
      </c>
      <c r="E111" s="30"/>
      <c r="F111" s="22"/>
      <c r="G111" s="22"/>
      <c r="H111" s="22"/>
      <c r="I111" s="23"/>
      <c r="J111" s="23"/>
      <c r="K111" s="23"/>
    </row>
    <row r="112" spans="1:11" ht="15">
      <c r="A112" s="24" t="s">
        <v>469</v>
      </c>
      <c r="B112" s="24"/>
      <c r="C112" s="234"/>
      <c r="D112" s="234"/>
      <c r="E112" s="234"/>
      <c r="F112" s="234"/>
      <c r="G112" s="234"/>
      <c r="H112" s="234"/>
      <c r="I112" s="234"/>
      <c r="J112" s="234"/>
      <c r="K112" s="39"/>
    </row>
    <row r="113" spans="1:11">
      <c r="A113" s="22" t="s">
        <v>470</v>
      </c>
      <c r="B113" s="22" t="s">
        <v>471</v>
      </c>
      <c r="C113" s="23"/>
      <c r="D113" s="23" t="s">
        <v>288</v>
      </c>
      <c r="E113" s="23" t="s">
        <v>288</v>
      </c>
      <c r="F113" s="22"/>
      <c r="G113" s="22"/>
      <c r="H113" s="22"/>
      <c r="I113" s="22"/>
      <c r="J113" s="22"/>
      <c r="K113" s="22"/>
    </row>
    <row r="114" spans="1:11">
      <c r="A114" s="22" t="s">
        <v>472</v>
      </c>
      <c r="B114" s="22" t="s">
        <v>473</v>
      </c>
      <c r="C114" s="23"/>
      <c r="D114" s="23" t="s">
        <v>288</v>
      </c>
      <c r="E114" s="23" t="s">
        <v>288</v>
      </c>
      <c r="F114" s="22"/>
      <c r="G114" s="22"/>
      <c r="H114" s="22"/>
      <c r="I114" s="22"/>
      <c r="J114" s="22"/>
      <c r="K114" s="22"/>
    </row>
    <row r="115" spans="1:11" ht="15">
      <c r="A115" s="26" t="s">
        <v>474</v>
      </c>
      <c r="B115" s="26" t="s">
        <v>475</v>
      </c>
      <c r="C115" s="237"/>
      <c r="D115" s="237"/>
      <c r="E115" s="237"/>
      <c r="F115" s="237"/>
      <c r="G115" s="237"/>
      <c r="H115" s="237"/>
      <c r="I115" s="237"/>
      <c r="J115" s="237"/>
      <c r="K115" s="38"/>
    </row>
    <row r="116" spans="1:11">
      <c r="A116" s="28" t="s">
        <v>476</v>
      </c>
      <c r="B116" s="28" t="s">
        <v>477</v>
      </c>
      <c r="C116" s="29"/>
      <c r="D116" s="28"/>
      <c r="E116" s="28"/>
      <c r="F116" s="28"/>
      <c r="G116" s="28"/>
      <c r="H116" s="28"/>
      <c r="I116" s="28"/>
      <c r="J116" s="28"/>
      <c r="K116" s="28"/>
    </row>
    <row r="117" spans="1:11">
      <c r="A117" s="22" t="s">
        <v>478</v>
      </c>
      <c r="B117" s="22" t="s">
        <v>479</v>
      </c>
      <c r="C117" s="23" t="s">
        <v>288</v>
      </c>
      <c r="D117" s="23"/>
      <c r="E117" s="23"/>
      <c r="F117" s="23" t="s">
        <v>288</v>
      </c>
      <c r="G117" s="23"/>
      <c r="H117" s="23"/>
      <c r="I117" s="23"/>
      <c r="J117" s="23"/>
      <c r="K117" s="23"/>
    </row>
    <row r="118" spans="1:11">
      <c r="A118" s="22" t="s">
        <v>480</v>
      </c>
      <c r="B118" s="22" t="s">
        <v>481</v>
      </c>
      <c r="C118" s="23"/>
      <c r="D118" s="22"/>
      <c r="E118" s="22"/>
      <c r="F118" s="22"/>
      <c r="G118" s="22"/>
      <c r="H118" s="22"/>
      <c r="I118" s="22"/>
      <c r="J118" s="22"/>
      <c r="K118" s="22"/>
    </row>
    <row r="119" spans="1:11" ht="15">
      <c r="A119" s="24" t="s">
        <v>482</v>
      </c>
      <c r="B119" s="24"/>
      <c r="C119" s="234"/>
      <c r="D119" s="234"/>
      <c r="E119" s="234"/>
      <c r="F119" s="234"/>
      <c r="G119" s="234"/>
      <c r="H119" s="234"/>
      <c r="I119" s="234"/>
      <c r="J119" s="234"/>
      <c r="K119" s="39"/>
    </row>
    <row r="120" spans="1:11">
      <c r="A120" s="22" t="s">
        <v>483</v>
      </c>
      <c r="B120" s="22" t="s">
        <v>484</v>
      </c>
      <c r="C120" s="23" t="s">
        <v>288</v>
      </c>
      <c r="D120" s="23" t="s">
        <v>288</v>
      </c>
      <c r="E120" s="23" t="s">
        <v>288</v>
      </c>
      <c r="F120" s="23" t="s">
        <v>288</v>
      </c>
      <c r="G120" s="23" t="s">
        <v>288</v>
      </c>
      <c r="H120" s="23" t="s">
        <v>288</v>
      </c>
      <c r="I120" s="23" t="s">
        <v>288</v>
      </c>
      <c r="J120" s="23"/>
      <c r="K120" s="23" t="s">
        <v>288</v>
      </c>
    </row>
    <row r="121" spans="1:11">
      <c r="A121" s="22" t="s">
        <v>485</v>
      </c>
      <c r="B121" s="22" t="s">
        <v>486</v>
      </c>
      <c r="C121" s="23"/>
      <c r="D121" s="23" t="s">
        <v>288</v>
      </c>
      <c r="E121" s="23" t="s">
        <v>288</v>
      </c>
      <c r="F121" s="22"/>
      <c r="G121" s="22"/>
      <c r="H121" s="22"/>
      <c r="I121" s="22"/>
      <c r="J121" s="22"/>
      <c r="K121" s="22"/>
    </row>
    <row r="122" spans="1:11" ht="15">
      <c r="A122" s="24" t="s">
        <v>487</v>
      </c>
      <c r="B122" s="24"/>
      <c r="C122" s="234"/>
      <c r="D122" s="234"/>
      <c r="E122" s="234"/>
      <c r="F122" s="234"/>
      <c r="G122" s="234"/>
      <c r="H122" s="234"/>
      <c r="I122" s="234"/>
      <c r="J122" s="234"/>
      <c r="K122" s="39"/>
    </row>
    <row r="123" spans="1:11">
      <c r="A123" s="22" t="s">
        <v>488</v>
      </c>
      <c r="B123" s="22" t="s">
        <v>489</v>
      </c>
      <c r="C123" s="23"/>
      <c r="D123" s="23" t="s">
        <v>288</v>
      </c>
      <c r="E123" s="23" t="s">
        <v>288</v>
      </c>
      <c r="F123" s="22"/>
      <c r="G123" s="22"/>
      <c r="H123" s="22"/>
      <c r="I123" s="22"/>
      <c r="J123" s="22"/>
      <c r="K123" s="22"/>
    </row>
    <row r="124" spans="1:11">
      <c r="A124" s="22" t="s">
        <v>490</v>
      </c>
      <c r="B124" s="22" t="s">
        <v>491</v>
      </c>
      <c r="C124" s="23" t="s">
        <v>288</v>
      </c>
      <c r="D124" s="23" t="s">
        <v>288</v>
      </c>
      <c r="E124" s="23" t="s">
        <v>288</v>
      </c>
      <c r="F124" s="23" t="s">
        <v>288</v>
      </c>
      <c r="G124" s="23" t="s">
        <v>288</v>
      </c>
      <c r="H124" s="23" t="s">
        <v>288</v>
      </c>
      <c r="I124" s="23" t="s">
        <v>288</v>
      </c>
      <c r="J124" s="23"/>
      <c r="K124" s="23" t="s">
        <v>288</v>
      </c>
    </row>
    <row r="125" spans="1:11">
      <c r="A125" s="22" t="s">
        <v>492</v>
      </c>
      <c r="B125" s="22" t="s">
        <v>493</v>
      </c>
      <c r="C125" s="23"/>
      <c r="D125" s="23" t="s">
        <v>288</v>
      </c>
      <c r="E125" s="23" t="s">
        <v>288</v>
      </c>
      <c r="F125" s="22"/>
      <c r="G125" s="22"/>
      <c r="H125" s="22"/>
      <c r="I125" s="22"/>
      <c r="J125" s="22"/>
      <c r="K125" s="22"/>
    </row>
    <row r="126" spans="1:11" ht="15">
      <c r="A126" s="27" t="s">
        <v>494</v>
      </c>
      <c r="B126" s="27" t="s">
        <v>303</v>
      </c>
      <c r="C126" s="235"/>
      <c r="D126" s="235"/>
      <c r="E126" s="235"/>
      <c r="F126" s="235"/>
      <c r="G126" s="235"/>
      <c r="H126" s="235"/>
      <c r="I126" s="235"/>
      <c r="J126" s="235"/>
      <c r="K126" s="36"/>
    </row>
    <row r="127" spans="1:11">
      <c r="A127" s="22" t="s">
        <v>495</v>
      </c>
      <c r="B127" s="22" t="s">
        <v>496</v>
      </c>
      <c r="C127" s="30" t="s">
        <v>282</v>
      </c>
      <c r="D127" s="30" t="s">
        <v>282</v>
      </c>
      <c r="E127" s="30"/>
      <c r="F127" s="30" t="s">
        <v>282</v>
      </c>
      <c r="G127" s="22"/>
      <c r="H127" s="22"/>
      <c r="I127" s="22"/>
      <c r="J127" s="22"/>
      <c r="K127" s="22"/>
    </row>
    <row r="128" spans="1:11">
      <c r="A128" s="22" t="s">
        <v>497</v>
      </c>
      <c r="B128" s="22" t="s">
        <v>498</v>
      </c>
      <c r="C128" s="23"/>
      <c r="D128" s="30" t="s">
        <v>282</v>
      </c>
      <c r="E128" s="30"/>
      <c r="F128" s="23"/>
      <c r="G128" s="22"/>
      <c r="H128" s="22"/>
      <c r="I128" s="22"/>
      <c r="J128" s="22"/>
      <c r="K128" s="22"/>
    </row>
    <row r="129" spans="1:11" ht="15">
      <c r="A129" s="27" t="s">
        <v>499</v>
      </c>
      <c r="B129" s="27" t="s">
        <v>303</v>
      </c>
      <c r="C129" s="235"/>
      <c r="D129" s="235"/>
      <c r="E129" s="235"/>
      <c r="F129" s="235"/>
      <c r="G129" s="235"/>
      <c r="H129" s="235"/>
      <c r="I129" s="235"/>
      <c r="J129" s="235"/>
      <c r="K129" s="36"/>
    </row>
    <row r="130" spans="1:11">
      <c r="A130" s="22" t="s">
        <v>500</v>
      </c>
      <c r="B130" s="22" t="s">
        <v>501</v>
      </c>
      <c r="C130" s="30" t="s">
        <v>282</v>
      </c>
      <c r="D130" s="30" t="s">
        <v>282</v>
      </c>
      <c r="E130" s="30"/>
      <c r="F130" s="30" t="s">
        <v>282</v>
      </c>
      <c r="G130" s="22"/>
      <c r="H130" s="22"/>
      <c r="I130" s="22"/>
      <c r="J130" s="22"/>
      <c r="K130" s="22"/>
    </row>
    <row r="131" spans="1:11">
      <c r="A131" s="22" t="s">
        <v>502</v>
      </c>
      <c r="B131" s="22" t="s">
        <v>503</v>
      </c>
      <c r="C131" s="23"/>
      <c r="D131" s="30" t="s">
        <v>282</v>
      </c>
      <c r="E131" s="30"/>
      <c r="F131" s="30"/>
      <c r="G131" s="22"/>
      <c r="H131" s="22"/>
      <c r="I131" s="22"/>
      <c r="J131" s="22"/>
      <c r="K131" s="22"/>
    </row>
    <row r="132" spans="1:11" ht="15">
      <c r="A132" s="24" t="s">
        <v>504</v>
      </c>
      <c r="B132" s="25"/>
      <c r="C132" s="234"/>
      <c r="D132" s="234"/>
      <c r="E132" s="234"/>
      <c r="F132" s="234"/>
      <c r="G132" s="234"/>
      <c r="H132" s="234"/>
      <c r="I132" s="234"/>
      <c r="J132" s="234"/>
      <c r="K132" s="39"/>
    </row>
    <row r="133" spans="1:11">
      <c r="A133" s="22" t="s">
        <v>505</v>
      </c>
      <c r="B133" s="22" t="s">
        <v>506</v>
      </c>
      <c r="C133" s="30" t="s">
        <v>282</v>
      </c>
      <c r="D133" s="30" t="s">
        <v>282</v>
      </c>
      <c r="E133" s="30"/>
      <c r="F133" s="30"/>
      <c r="G133" s="22"/>
      <c r="H133" s="22"/>
      <c r="I133" s="22"/>
      <c r="J133" s="22"/>
      <c r="K133" s="22"/>
    </row>
    <row r="134" spans="1:11" ht="15">
      <c r="A134" s="27" t="s">
        <v>507</v>
      </c>
      <c r="B134" s="27" t="s">
        <v>303</v>
      </c>
      <c r="C134" s="35"/>
      <c r="D134" s="35"/>
      <c r="E134" s="35"/>
      <c r="F134" s="35"/>
      <c r="G134" s="35"/>
      <c r="H134" s="35"/>
      <c r="I134" s="35"/>
      <c r="J134" s="35"/>
      <c r="K134" s="35"/>
    </row>
    <row r="135" spans="1:11">
      <c r="A135" s="22" t="s">
        <v>508</v>
      </c>
      <c r="B135" s="22" t="s">
        <v>509</v>
      </c>
      <c r="C135" s="23" t="s">
        <v>288</v>
      </c>
      <c r="D135" s="22"/>
      <c r="E135" s="22"/>
      <c r="F135" s="22"/>
      <c r="G135" s="22"/>
      <c r="H135" s="22"/>
      <c r="I135" s="22"/>
      <c r="J135" s="22"/>
      <c r="K135" s="22"/>
    </row>
    <row r="136" spans="1:11">
      <c r="A136" s="22" t="s">
        <v>510</v>
      </c>
      <c r="B136" s="22" t="s">
        <v>511</v>
      </c>
      <c r="C136" s="23" t="s">
        <v>288</v>
      </c>
      <c r="D136" s="22"/>
      <c r="E136" s="22"/>
      <c r="F136" s="22"/>
      <c r="G136" s="22"/>
      <c r="H136" s="22"/>
      <c r="I136" s="22"/>
      <c r="J136" s="22"/>
      <c r="K136" s="22"/>
    </row>
    <row r="137" spans="1:11">
      <c r="A137" s="22" t="s">
        <v>512</v>
      </c>
      <c r="B137" s="22" t="s">
        <v>513</v>
      </c>
      <c r="C137" s="23" t="s">
        <v>288</v>
      </c>
      <c r="D137" s="22"/>
      <c r="E137" s="22"/>
      <c r="F137" s="22"/>
      <c r="G137" s="22"/>
      <c r="H137" s="22"/>
      <c r="I137" s="22"/>
      <c r="J137" s="22"/>
      <c r="K137" s="22"/>
    </row>
    <row r="138" spans="1:11">
      <c r="A138" s="22" t="s">
        <v>514</v>
      </c>
      <c r="B138" s="22" t="s">
        <v>515</v>
      </c>
      <c r="C138" s="23" t="s">
        <v>288</v>
      </c>
      <c r="D138" s="22"/>
      <c r="E138" s="22"/>
      <c r="F138" s="22"/>
      <c r="G138" s="22"/>
      <c r="H138" s="22"/>
      <c r="I138" s="22"/>
      <c r="J138" s="22"/>
      <c r="K138" s="22"/>
    </row>
    <row r="139" spans="1:11" ht="15">
      <c r="A139" s="24" t="s">
        <v>516</v>
      </c>
      <c r="B139" s="24"/>
      <c r="C139" s="234"/>
      <c r="D139" s="234"/>
      <c r="E139" s="234"/>
      <c r="F139" s="234"/>
      <c r="G139" s="234"/>
      <c r="H139" s="234"/>
      <c r="I139" s="234"/>
      <c r="J139" s="234"/>
      <c r="K139" s="39"/>
    </row>
    <row r="140" spans="1:11">
      <c r="A140" s="22" t="s">
        <v>517</v>
      </c>
      <c r="B140" s="22" t="s">
        <v>518</v>
      </c>
      <c r="C140" s="23"/>
      <c r="D140" s="23" t="s">
        <v>288</v>
      </c>
      <c r="E140" s="23" t="s">
        <v>288</v>
      </c>
      <c r="F140" s="22"/>
      <c r="G140" s="22"/>
      <c r="H140" s="22"/>
      <c r="I140" s="22"/>
      <c r="J140" s="22"/>
      <c r="K140" s="22"/>
    </row>
    <row r="141" spans="1:11" ht="15">
      <c r="A141" s="27" t="s">
        <v>507</v>
      </c>
      <c r="B141" s="27" t="s">
        <v>303</v>
      </c>
      <c r="C141" s="35"/>
      <c r="D141" s="35"/>
      <c r="E141" s="35"/>
      <c r="F141" s="35"/>
      <c r="G141" s="35"/>
      <c r="H141" s="35"/>
      <c r="I141" s="35"/>
      <c r="J141" s="35"/>
      <c r="K141" s="35"/>
    </row>
    <row r="142" spans="1:11">
      <c r="A142" s="22" t="s">
        <v>519</v>
      </c>
      <c r="B142" s="22" t="s">
        <v>520</v>
      </c>
      <c r="C142" s="23" t="s">
        <v>288</v>
      </c>
      <c r="D142" s="22"/>
      <c r="E142" s="22"/>
      <c r="F142" s="22"/>
      <c r="G142" s="22"/>
      <c r="H142" s="22"/>
      <c r="I142" s="22"/>
      <c r="J142" s="22"/>
      <c r="K142" s="22"/>
    </row>
    <row r="143" spans="1:11">
      <c r="A143" s="22" t="s">
        <v>521</v>
      </c>
      <c r="B143" s="22" t="s">
        <v>522</v>
      </c>
      <c r="C143" s="23" t="s">
        <v>288</v>
      </c>
      <c r="D143" s="22"/>
      <c r="E143" s="22"/>
      <c r="F143" s="22"/>
      <c r="G143" s="22"/>
      <c r="H143" s="22"/>
      <c r="I143" s="22"/>
      <c r="J143" s="22"/>
      <c r="K143" s="22"/>
    </row>
    <row r="144" spans="1:11" ht="15">
      <c r="A144" s="26" t="s">
        <v>523</v>
      </c>
      <c r="B144" s="26" t="s">
        <v>290</v>
      </c>
      <c r="C144" s="237"/>
      <c r="D144" s="237"/>
      <c r="E144" s="237"/>
      <c r="F144" s="237"/>
      <c r="G144" s="237"/>
      <c r="H144" s="237"/>
      <c r="I144" s="237"/>
      <c r="J144" s="237"/>
      <c r="K144" s="38"/>
    </row>
    <row r="145" spans="1:11">
      <c r="A145" s="22" t="s">
        <v>524</v>
      </c>
      <c r="B145" s="22" t="s">
        <v>525</v>
      </c>
      <c r="C145" s="23" t="s">
        <v>288</v>
      </c>
      <c r="D145" s="22"/>
      <c r="E145" s="22"/>
      <c r="F145" s="22"/>
      <c r="G145" s="22"/>
      <c r="H145" s="22"/>
      <c r="I145" s="22"/>
      <c r="J145" s="22"/>
      <c r="K145" s="22"/>
    </row>
    <row r="146" spans="1:11">
      <c r="A146" s="22" t="s">
        <v>526</v>
      </c>
      <c r="B146" s="22" t="s">
        <v>527</v>
      </c>
      <c r="C146" s="23"/>
      <c r="D146" s="22"/>
      <c r="E146" s="22"/>
      <c r="F146" s="22"/>
      <c r="G146" s="22"/>
      <c r="H146" s="22"/>
      <c r="I146" s="22"/>
      <c r="J146" s="22"/>
      <c r="K146" s="22"/>
    </row>
    <row r="147" spans="1:11" ht="15">
      <c r="A147" s="24" t="s">
        <v>528</v>
      </c>
      <c r="B147" s="24"/>
      <c r="C147" s="234"/>
      <c r="D147" s="234"/>
      <c r="E147" s="234"/>
      <c r="F147" s="234"/>
      <c r="G147" s="234"/>
      <c r="H147" s="234"/>
      <c r="I147" s="234"/>
      <c r="J147" s="234"/>
      <c r="K147" s="39"/>
    </row>
    <row r="148" spans="1:11">
      <c r="A148" s="22" t="s">
        <v>529</v>
      </c>
      <c r="B148" s="22" t="s">
        <v>530</v>
      </c>
      <c r="C148" s="23"/>
      <c r="D148" s="23" t="s">
        <v>288</v>
      </c>
      <c r="E148" s="23" t="s">
        <v>288</v>
      </c>
      <c r="F148" s="22"/>
      <c r="G148" s="22"/>
      <c r="H148" s="22"/>
      <c r="I148" s="22"/>
      <c r="J148" s="22"/>
      <c r="K148" s="22"/>
    </row>
    <row r="149" spans="1:11">
      <c r="A149" s="22" t="s">
        <v>531</v>
      </c>
      <c r="B149" s="22" t="s">
        <v>532</v>
      </c>
      <c r="C149" s="23" t="s">
        <v>288</v>
      </c>
      <c r="D149" s="23" t="s">
        <v>288</v>
      </c>
      <c r="E149" s="23" t="s">
        <v>288</v>
      </c>
      <c r="F149" s="23" t="s">
        <v>288</v>
      </c>
      <c r="G149" s="23" t="s">
        <v>288</v>
      </c>
      <c r="H149" s="23" t="s">
        <v>288</v>
      </c>
      <c r="I149" s="23" t="s">
        <v>288</v>
      </c>
      <c r="J149" s="23"/>
      <c r="K149" s="23" t="s">
        <v>288</v>
      </c>
    </row>
    <row r="150" spans="1:11">
      <c r="A150" s="22" t="s">
        <v>533</v>
      </c>
      <c r="B150" s="22" t="s">
        <v>534</v>
      </c>
      <c r="C150" s="23"/>
      <c r="D150" s="23" t="s">
        <v>288</v>
      </c>
      <c r="E150" s="23" t="s">
        <v>288</v>
      </c>
      <c r="F150" s="22"/>
      <c r="G150" s="22"/>
      <c r="H150" s="22"/>
      <c r="I150" s="22"/>
      <c r="J150" s="22"/>
      <c r="K150" s="22"/>
    </row>
    <row r="151" spans="1:11" ht="15">
      <c r="A151" s="24" t="s">
        <v>535</v>
      </c>
      <c r="B151" s="24"/>
      <c r="C151" s="234"/>
      <c r="D151" s="234"/>
      <c r="E151" s="234"/>
      <c r="F151" s="234"/>
      <c r="G151" s="234"/>
      <c r="H151" s="234"/>
      <c r="I151" s="234"/>
      <c r="J151" s="234"/>
      <c r="K151" s="39"/>
    </row>
    <row r="152" spans="1:11">
      <c r="A152" s="22" t="s">
        <v>536</v>
      </c>
      <c r="B152" s="22" t="s">
        <v>537</v>
      </c>
      <c r="C152" s="23"/>
      <c r="D152" s="23" t="s">
        <v>288</v>
      </c>
      <c r="E152" s="23" t="s">
        <v>288</v>
      </c>
      <c r="F152" s="23" t="s">
        <v>288</v>
      </c>
      <c r="G152" s="29"/>
      <c r="H152" s="29" t="s">
        <v>288</v>
      </c>
      <c r="I152" s="29" t="s">
        <v>288</v>
      </c>
      <c r="J152" s="29"/>
      <c r="K152" s="29" t="s">
        <v>288</v>
      </c>
    </row>
    <row r="153" spans="1:11">
      <c r="A153" s="22" t="s">
        <v>538</v>
      </c>
      <c r="B153" s="22" t="s">
        <v>539</v>
      </c>
      <c r="C153" s="23" t="s">
        <v>288</v>
      </c>
      <c r="D153" s="23" t="s">
        <v>288</v>
      </c>
      <c r="E153" s="23" t="s">
        <v>288</v>
      </c>
      <c r="F153" s="23" t="s">
        <v>288</v>
      </c>
      <c r="G153" s="29" t="s">
        <v>341</v>
      </c>
      <c r="H153" s="29" t="s">
        <v>341</v>
      </c>
      <c r="I153" s="29" t="s">
        <v>341</v>
      </c>
      <c r="J153" s="29"/>
      <c r="K153" s="29" t="s">
        <v>341</v>
      </c>
    </row>
    <row r="154" spans="1:11">
      <c r="A154" s="22" t="s">
        <v>540</v>
      </c>
      <c r="B154" s="22" t="s">
        <v>541</v>
      </c>
      <c r="C154" s="23"/>
      <c r="D154" s="23" t="s">
        <v>288</v>
      </c>
      <c r="E154" s="23" t="s">
        <v>288</v>
      </c>
      <c r="F154" s="23" t="s">
        <v>288</v>
      </c>
      <c r="G154" s="28"/>
      <c r="H154" s="29" t="s">
        <v>341</v>
      </c>
      <c r="I154" s="29" t="s">
        <v>341</v>
      </c>
      <c r="J154" s="29"/>
      <c r="K154" s="29" t="s">
        <v>341</v>
      </c>
    </row>
    <row r="155" spans="1:11">
      <c r="A155" s="22" t="s">
        <v>542</v>
      </c>
      <c r="B155" s="22" t="s">
        <v>543</v>
      </c>
      <c r="C155" s="23"/>
      <c r="D155" s="23" t="s">
        <v>288</v>
      </c>
      <c r="E155" s="23" t="s">
        <v>288</v>
      </c>
      <c r="F155" s="23" t="s">
        <v>288</v>
      </c>
      <c r="G155" s="29"/>
      <c r="H155" s="29" t="s">
        <v>288</v>
      </c>
      <c r="I155" s="29" t="s">
        <v>288</v>
      </c>
      <c r="J155" s="29"/>
      <c r="K155" s="29" t="s">
        <v>288</v>
      </c>
    </row>
    <row r="156" spans="1:11" ht="15">
      <c r="A156" s="24" t="s">
        <v>544</v>
      </c>
      <c r="B156" s="24"/>
      <c r="C156" s="234"/>
      <c r="D156" s="234"/>
      <c r="E156" s="234"/>
      <c r="F156" s="234"/>
      <c r="G156" s="234"/>
      <c r="H156" s="234"/>
      <c r="I156" s="234"/>
      <c r="J156" s="234"/>
      <c r="K156" s="39"/>
    </row>
    <row r="157" spans="1:11">
      <c r="A157" s="22" t="s">
        <v>545</v>
      </c>
      <c r="B157" s="22" t="s">
        <v>546</v>
      </c>
      <c r="C157" s="23" t="s">
        <v>341</v>
      </c>
      <c r="D157" s="23" t="s">
        <v>288</v>
      </c>
      <c r="E157" s="23" t="s">
        <v>288</v>
      </c>
      <c r="F157" s="23" t="s">
        <v>288</v>
      </c>
      <c r="G157" s="23" t="s">
        <v>341</v>
      </c>
      <c r="H157" s="23" t="s">
        <v>288</v>
      </c>
      <c r="I157" s="23" t="s">
        <v>288</v>
      </c>
      <c r="J157" s="23"/>
      <c r="K157" s="23" t="s">
        <v>288</v>
      </c>
    </row>
    <row r="158" spans="1:11" ht="15">
      <c r="A158" s="26" t="s">
        <v>547</v>
      </c>
      <c r="B158" s="26" t="s">
        <v>290</v>
      </c>
      <c r="C158" s="237"/>
      <c r="D158" s="237"/>
      <c r="E158" s="237"/>
      <c r="F158" s="237"/>
      <c r="G158" s="237"/>
      <c r="H158" s="237"/>
      <c r="I158" s="237"/>
      <c r="J158" s="237"/>
      <c r="K158" s="38"/>
    </row>
    <row r="159" spans="1:11">
      <c r="A159" s="22" t="s">
        <v>548</v>
      </c>
      <c r="B159" s="22" t="s">
        <v>549</v>
      </c>
      <c r="C159" s="23" t="s">
        <v>288</v>
      </c>
      <c r="D159" s="23" t="s">
        <v>288</v>
      </c>
      <c r="E159" s="23"/>
      <c r="F159" s="29" t="s">
        <v>288</v>
      </c>
      <c r="G159" s="29"/>
      <c r="H159" s="23"/>
      <c r="I159" s="23"/>
      <c r="J159" s="23"/>
      <c r="K159" s="23"/>
    </row>
    <row r="160" spans="1:11">
      <c r="A160" s="22" t="s">
        <v>550</v>
      </c>
      <c r="B160" s="22" t="s">
        <v>551</v>
      </c>
      <c r="C160" s="23"/>
      <c r="D160" s="22"/>
      <c r="E160" s="22"/>
      <c r="F160" s="22"/>
      <c r="G160" s="22"/>
      <c r="H160" s="22"/>
      <c r="I160" s="22"/>
      <c r="J160" s="22"/>
      <c r="K160" s="22"/>
    </row>
    <row r="161" spans="1:11" ht="15">
      <c r="A161" s="26" t="s">
        <v>552</v>
      </c>
      <c r="B161" s="26" t="s">
        <v>290</v>
      </c>
      <c r="C161" s="237"/>
      <c r="D161" s="237"/>
      <c r="E161" s="237"/>
      <c r="F161" s="237"/>
      <c r="G161" s="237"/>
      <c r="H161" s="237"/>
      <c r="I161" s="237"/>
      <c r="J161" s="237"/>
      <c r="K161" s="38"/>
    </row>
    <row r="162" spans="1:11">
      <c r="A162" s="22" t="s">
        <v>553</v>
      </c>
      <c r="B162" s="22" t="s">
        <v>554</v>
      </c>
      <c r="C162" s="23" t="s">
        <v>288</v>
      </c>
      <c r="D162" s="22"/>
      <c r="E162" s="22"/>
      <c r="F162" s="22"/>
      <c r="G162" s="22"/>
      <c r="H162" s="22"/>
      <c r="I162" s="22"/>
      <c r="J162" s="22"/>
      <c r="K162" s="22"/>
    </row>
    <row r="163" spans="1:11">
      <c r="A163" s="22" t="s">
        <v>555</v>
      </c>
      <c r="B163" s="22" t="s">
        <v>556</v>
      </c>
      <c r="C163" s="23"/>
      <c r="D163" s="22"/>
      <c r="E163" s="22"/>
      <c r="F163" s="22"/>
      <c r="G163" s="22"/>
      <c r="H163" s="22"/>
      <c r="I163" s="22"/>
      <c r="J163" s="22"/>
      <c r="K163" s="22"/>
    </row>
    <row r="164" spans="1:11" ht="15">
      <c r="A164" s="27" t="s">
        <v>557</v>
      </c>
      <c r="B164" s="27" t="s">
        <v>303</v>
      </c>
      <c r="C164" s="235"/>
      <c r="D164" s="235"/>
      <c r="E164" s="235"/>
      <c r="F164" s="235"/>
      <c r="G164" s="235"/>
      <c r="H164" s="235"/>
      <c r="I164" s="235"/>
      <c r="J164" s="235"/>
      <c r="K164" s="36"/>
    </row>
    <row r="165" spans="1:11">
      <c r="A165" s="22" t="s">
        <v>558</v>
      </c>
      <c r="B165" s="22" t="s">
        <v>559</v>
      </c>
      <c r="C165" s="23"/>
      <c r="D165" s="22"/>
      <c r="E165" s="22"/>
      <c r="F165" s="22"/>
      <c r="G165" s="22"/>
      <c r="H165" s="22"/>
      <c r="I165" s="22"/>
      <c r="J165" s="22"/>
      <c r="K165" s="22"/>
    </row>
    <row r="166" spans="1:11" ht="15">
      <c r="A166" s="24" t="s">
        <v>560</v>
      </c>
      <c r="B166" s="24"/>
      <c r="C166" s="234"/>
      <c r="D166" s="234"/>
      <c r="E166" s="234"/>
      <c r="F166" s="234"/>
      <c r="G166" s="234"/>
      <c r="H166" s="234"/>
      <c r="I166" s="234"/>
      <c r="J166" s="234"/>
      <c r="K166" s="39"/>
    </row>
    <row r="167" spans="1:11">
      <c r="A167" s="22" t="s">
        <v>561</v>
      </c>
      <c r="B167" s="22" t="s">
        <v>562</v>
      </c>
      <c r="C167" s="23"/>
      <c r="D167" s="23" t="s">
        <v>288</v>
      </c>
      <c r="E167" s="23" t="s">
        <v>288</v>
      </c>
      <c r="F167" s="23" t="s">
        <v>288</v>
      </c>
      <c r="G167" s="22"/>
      <c r="H167" s="22"/>
      <c r="I167" s="22"/>
      <c r="J167" s="22"/>
      <c r="K167" s="22"/>
    </row>
    <row r="168" spans="1:11" ht="15">
      <c r="A168" s="26" t="s">
        <v>563</v>
      </c>
      <c r="B168" s="26" t="s">
        <v>290</v>
      </c>
      <c r="C168" s="237"/>
      <c r="D168" s="237"/>
      <c r="E168" s="237"/>
      <c r="F168" s="237"/>
      <c r="G168" s="237"/>
      <c r="H168" s="237"/>
      <c r="I168" s="237"/>
      <c r="J168" s="237"/>
      <c r="K168" s="38"/>
    </row>
    <row r="169" spans="1:11">
      <c r="A169" s="22" t="s">
        <v>564</v>
      </c>
      <c r="B169" s="22" t="s">
        <v>565</v>
      </c>
      <c r="C169" s="23" t="s">
        <v>288</v>
      </c>
      <c r="D169" s="22"/>
      <c r="E169" s="22"/>
      <c r="F169" s="22"/>
      <c r="G169" s="22"/>
      <c r="H169" s="22"/>
      <c r="I169" s="22"/>
      <c r="J169" s="22"/>
      <c r="K169" s="22"/>
    </row>
    <row r="170" spans="1:11">
      <c r="A170" s="22" t="s">
        <v>566</v>
      </c>
      <c r="B170" s="22" t="s">
        <v>567</v>
      </c>
      <c r="C170" s="23"/>
      <c r="D170" s="22"/>
      <c r="E170" s="22"/>
      <c r="F170" s="22"/>
      <c r="G170" s="22"/>
      <c r="H170" s="22"/>
      <c r="I170" s="22"/>
      <c r="J170" s="22"/>
      <c r="K170" s="22"/>
    </row>
    <row r="171" spans="1:11" ht="15">
      <c r="A171" s="26" t="s">
        <v>568</v>
      </c>
      <c r="B171" s="26" t="s">
        <v>290</v>
      </c>
      <c r="C171" s="236"/>
      <c r="D171" s="236"/>
      <c r="E171" s="236"/>
      <c r="F171" s="236"/>
      <c r="G171" s="236"/>
      <c r="H171" s="236"/>
      <c r="I171" s="236"/>
      <c r="J171" s="236"/>
      <c r="K171" s="37"/>
    </row>
    <row r="172" spans="1:11">
      <c r="A172" s="28" t="s">
        <v>569</v>
      </c>
      <c r="B172" s="28" t="s">
        <v>570</v>
      </c>
      <c r="C172" s="29" t="s">
        <v>288</v>
      </c>
      <c r="D172" s="29" t="s">
        <v>288</v>
      </c>
      <c r="E172" s="29"/>
      <c r="F172" s="29" t="s">
        <v>288</v>
      </c>
      <c r="G172" s="28"/>
      <c r="H172" s="28"/>
      <c r="I172" s="28"/>
      <c r="J172" s="28"/>
      <c r="K172" s="28"/>
    </row>
    <row r="173" spans="1:11">
      <c r="A173" s="28" t="s">
        <v>571</v>
      </c>
      <c r="B173" s="28" t="s">
        <v>572</v>
      </c>
      <c r="C173" s="29"/>
      <c r="D173" s="28"/>
      <c r="E173" s="28"/>
      <c r="F173" s="28"/>
      <c r="G173" s="28"/>
      <c r="H173" s="28"/>
      <c r="I173" s="28"/>
      <c r="J173" s="28"/>
      <c r="K173" s="28"/>
    </row>
    <row r="174" spans="1:11" ht="15">
      <c r="A174" s="27" t="s">
        <v>573</v>
      </c>
      <c r="B174" s="27" t="s">
        <v>303</v>
      </c>
      <c r="C174" s="235"/>
      <c r="D174" s="235"/>
      <c r="E174" s="235"/>
      <c r="F174" s="235"/>
      <c r="G174" s="235"/>
      <c r="H174" s="235"/>
      <c r="I174" s="235"/>
      <c r="J174" s="235"/>
      <c r="K174" s="36"/>
    </row>
    <row r="175" spans="1:11">
      <c r="A175" s="22" t="s">
        <v>574</v>
      </c>
      <c r="B175" s="22" t="s">
        <v>575</v>
      </c>
      <c r="C175" s="30" t="s">
        <v>282</v>
      </c>
      <c r="D175" s="23" t="s">
        <v>288</v>
      </c>
      <c r="E175" s="30"/>
      <c r="F175" s="30" t="s">
        <v>282</v>
      </c>
      <c r="G175" s="22"/>
      <c r="H175" s="22"/>
      <c r="I175" s="22"/>
      <c r="J175" s="22"/>
      <c r="K175" s="22"/>
    </row>
    <row r="176" spans="1:11">
      <c r="A176" s="22" t="s">
        <v>576</v>
      </c>
      <c r="B176" s="22" t="s">
        <v>577</v>
      </c>
      <c r="C176" s="23"/>
      <c r="D176" s="23" t="s">
        <v>288</v>
      </c>
      <c r="E176" s="23"/>
      <c r="F176" s="23"/>
      <c r="G176" s="22"/>
      <c r="H176" s="22"/>
      <c r="I176" s="22"/>
      <c r="J176" s="22"/>
      <c r="K176" s="22"/>
    </row>
    <row r="177" spans="1:11" ht="15">
      <c r="A177" s="26" t="s">
        <v>578</v>
      </c>
      <c r="B177" s="26" t="s">
        <v>290</v>
      </c>
      <c r="C177" s="236"/>
      <c r="D177" s="236"/>
      <c r="E177" s="236"/>
      <c r="F177" s="236"/>
      <c r="G177" s="236"/>
      <c r="H177" s="236"/>
      <c r="I177" s="236"/>
      <c r="J177" s="236"/>
      <c r="K177" s="37"/>
    </row>
    <row r="178" spans="1:11">
      <c r="A178" s="28" t="s">
        <v>579</v>
      </c>
      <c r="B178" s="28" t="s">
        <v>580</v>
      </c>
      <c r="C178" s="29" t="s">
        <v>288</v>
      </c>
      <c r="D178" s="31"/>
      <c r="E178" s="31"/>
      <c r="F178" s="31"/>
      <c r="G178" s="28"/>
      <c r="H178" s="28"/>
      <c r="I178" s="28"/>
      <c r="J178" s="28"/>
      <c r="K178" s="28"/>
    </row>
    <row r="179" spans="1:11">
      <c r="A179" s="28" t="s">
        <v>581</v>
      </c>
      <c r="B179" s="28" t="s">
        <v>582</v>
      </c>
      <c r="C179" s="29"/>
      <c r="D179" s="31"/>
      <c r="E179" s="28"/>
      <c r="F179" s="28"/>
      <c r="G179" s="28"/>
      <c r="H179" s="28"/>
      <c r="I179" s="28"/>
      <c r="J179" s="28"/>
      <c r="K179" s="28"/>
    </row>
    <row r="180" spans="1:11" ht="15">
      <c r="A180" s="27" t="s">
        <v>583</v>
      </c>
      <c r="B180" s="27" t="s">
        <v>303</v>
      </c>
      <c r="C180" s="235"/>
      <c r="D180" s="235"/>
      <c r="E180" s="235"/>
      <c r="F180" s="235"/>
      <c r="G180" s="235"/>
      <c r="H180" s="235"/>
      <c r="I180" s="235"/>
      <c r="J180" s="235"/>
      <c r="K180" s="36"/>
    </row>
    <row r="181" spans="1:11">
      <c r="A181" s="22" t="s">
        <v>584</v>
      </c>
      <c r="B181" s="22" t="s">
        <v>585</v>
      </c>
      <c r="C181" s="30" t="s">
        <v>282</v>
      </c>
      <c r="D181" s="30" t="s">
        <v>282</v>
      </c>
      <c r="E181" s="30"/>
      <c r="F181" s="30" t="s">
        <v>282</v>
      </c>
      <c r="G181" s="22"/>
      <c r="H181" s="22"/>
      <c r="I181" s="22"/>
      <c r="J181" s="22"/>
      <c r="K181" s="22"/>
    </row>
    <row r="182" spans="1:11">
      <c r="A182" s="22" t="s">
        <v>586</v>
      </c>
      <c r="B182" s="22" t="s">
        <v>587</v>
      </c>
      <c r="C182" s="23"/>
      <c r="D182" s="23"/>
      <c r="E182" s="23"/>
      <c r="F182" s="23"/>
      <c r="G182" s="22"/>
      <c r="H182" s="22"/>
      <c r="I182" s="22"/>
      <c r="J182" s="22"/>
      <c r="K182" s="22"/>
    </row>
    <row r="183" spans="1:11" ht="15">
      <c r="A183" s="27" t="s">
        <v>588</v>
      </c>
      <c r="B183" s="27" t="s">
        <v>303</v>
      </c>
      <c r="C183" s="235"/>
      <c r="D183" s="235"/>
      <c r="E183" s="235"/>
      <c r="F183" s="235"/>
      <c r="G183" s="235"/>
      <c r="H183" s="235"/>
      <c r="I183" s="235"/>
      <c r="J183" s="235"/>
      <c r="K183" s="36"/>
    </row>
    <row r="184" spans="1:11">
      <c r="A184" s="22" t="s">
        <v>589</v>
      </c>
      <c r="B184" s="22" t="s">
        <v>590</v>
      </c>
      <c r="C184" s="30" t="s">
        <v>282</v>
      </c>
      <c r="D184" s="23" t="s">
        <v>288</v>
      </c>
      <c r="E184" s="30"/>
      <c r="F184" s="30" t="s">
        <v>282</v>
      </c>
      <c r="G184" s="22"/>
      <c r="H184" s="22"/>
      <c r="I184" s="22"/>
      <c r="J184" s="22"/>
      <c r="K184" s="22"/>
    </row>
    <row r="185" spans="1:11">
      <c r="A185" s="22" t="s">
        <v>591</v>
      </c>
      <c r="B185" s="22" t="s">
        <v>592</v>
      </c>
      <c r="C185" s="23"/>
      <c r="D185" s="23" t="s">
        <v>288</v>
      </c>
      <c r="E185" s="23"/>
      <c r="F185" s="23"/>
      <c r="G185" s="22"/>
      <c r="H185" s="22"/>
      <c r="I185" s="22"/>
      <c r="J185" s="22"/>
      <c r="K185" s="22"/>
    </row>
    <row r="186" spans="1:11" ht="15">
      <c r="A186" s="26" t="s">
        <v>593</v>
      </c>
      <c r="B186" s="26" t="s">
        <v>290</v>
      </c>
      <c r="C186" s="236"/>
      <c r="D186" s="236"/>
      <c r="E186" s="236"/>
      <c r="F186" s="236"/>
      <c r="G186" s="236"/>
      <c r="H186" s="236"/>
      <c r="I186" s="236"/>
      <c r="J186" s="236"/>
      <c r="K186" s="37"/>
    </row>
    <row r="187" spans="1:11">
      <c r="A187" s="28" t="s">
        <v>594</v>
      </c>
      <c r="B187" s="28" t="s">
        <v>595</v>
      </c>
      <c r="C187" s="29" t="s">
        <v>288</v>
      </c>
      <c r="D187" s="29" t="s">
        <v>288</v>
      </c>
      <c r="E187" s="29"/>
      <c r="F187" s="28"/>
      <c r="G187" s="28"/>
      <c r="H187" s="28"/>
      <c r="I187" s="28"/>
      <c r="J187" s="28"/>
      <c r="K187" s="28"/>
    </row>
    <row r="188" spans="1:11">
      <c r="A188" s="28" t="s">
        <v>596</v>
      </c>
      <c r="B188" s="28" t="s">
        <v>597</v>
      </c>
      <c r="C188" s="29"/>
      <c r="D188" s="29" t="s">
        <v>288</v>
      </c>
      <c r="E188" s="29"/>
      <c r="F188" s="28"/>
      <c r="G188" s="28"/>
      <c r="H188" s="28"/>
      <c r="I188" s="28"/>
      <c r="J188" s="28"/>
      <c r="K188" s="28"/>
    </row>
  </sheetData>
  <mergeCells count="55">
    <mergeCell ref="C171:J171"/>
    <mergeCell ref="C11:J11"/>
    <mergeCell ref="C79:J79"/>
    <mergeCell ref="C82:J82"/>
    <mergeCell ref="C84:J84"/>
    <mergeCell ref="C53:J53"/>
    <mergeCell ref="C57:J57"/>
    <mergeCell ref="C61:J61"/>
    <mergeCell ref="C65:J65"/>
    <mergeCell ref="C126:J126"/>
    <mergeCell ref="C129:J129"/>
    <mergeCell ref="C99:J99"/>
    <mergeCell ref="C102:J102"/>
    <mergeCell ref="C112:J112"/>
    <mergeCell ref="C115:J115"/>
    <mergeCell ref="C108:J108"/>
    <mergeCell ref="C86:J86"/>
    <mergeCell ref="C105:J105"/>
    <mergeCell ref="C119:J119"/>
    <mergeCell ref="C122:J122"/>
    <mergeCell ref="C89:J89"/>
    <mergeCell ref="C92:J92"/>
    <mergeCell ref="C94:J94"/>
    <mergeCell ref="C97:J97"/>
    <mergeCell ref="C3:J3"/>
    <mergeCell ref="C40:J40"/>
    <mergeCell ref="C43:J43"/>
    <mergeCell ref="C77:J77"/>
    <mergeCell ref="C74:J74"/>
    <mergeCell ref="C34:J34"/>
    <mergeCell ref="C37:J37"/>
    <mergeCell ref="C46:J46"/>
    <mergeCell ref="C49:J49"/>
    <mergeCell ref="C8:J8"/>
    <mergeCell ref="C15:J15"/>
    <mergeCell ref="C18:J18"/>
    <mergeCell ref="C6:I6"/>
    <mergeCell ref="C27:J27"/>
    <mergeCell ref="C31:J31"/>
    <mergeCell ref="C132:J132"/>
    <mergeCell ref="C180:J180"/>
    <mergeCell ref="C183:J183"/>
    <mergeCell ref="C186:J186"/>
    <mergeCell ref="C139:J139"/>
    <mergeCell ref="C158:J158"/>
    <mergeCell ref="C144:J144"/>
    <mergeCell ref="C147:J147"/>
    <mergeCell ref="C151:J151"/>
    <mergeCell ref="C156:J156"/>
    <mergeCell ref="C161:J161"/>
    <mergeCell ref="C174:J174"/>
    <mergeCell ref="C177:J177"/>
    <mergeCell ref="C164:J164"/>
    <mergeCell ref="C166:J166"/>
    <mergeCell ref="C168:J168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/>
  </sheetViews>
  <sheetFormatPr defaultColWidth="8.75" defaultRowHeight="14.25"/>
  <cols>
    <col min="1" max="16384" width="8.75" style="147"/>
  </cols>
  <sheetData>
    <row r="1" spans="1:1">
      <c r="A1" s="44" t="s">
        <v>45</v>
      </c>
    </row>
    <row r="2" spans="1:1">
      <c r="A2" s="44" t="s">
        <v>48</v>
      </c>
    </row>
    <row r="3" spans="1:1">
      <c r="A3" s="44" t="s">
        <v>50</v>
      </c>
    </row>
    <row r="4" spans="1:1">
      <c r="A4" s="44" t="s">
        <v>53</v>
      </c>
    </row>
    <row r="5" spans="1:1">
      <c r="A5" s="44" t="s">
        <v>55</v>
      </c>
    </row>
    <row r="6" spans="1:1">
      <c r="A6" s="44" t="s">
        <v>57</v>
      </c>
    </row>
    <row r="7" spans="1:1">
      <c r="A7" s="44" t="s">
        <v>59</v>
      </c>
    </row>
    <row r="8" spans="1:1">
      <c r="A8" s="44" t="s">
        <v>61</v>
      </c>
    </row>
    <row r="9" spans="1:1">
      <c r="A9" s="44" t="s">
        <v>63</v>
      </c>
    </row>
    <row r="10" spans="1:1">
      <c r="A10" s="44" t="s">
        <v>65</v>
      </c>
    </row>
    <row r="11" spans="1:1">
      <c r="A11" s="44" t="s">
        <v>67</v>
      </c>
    </row>
    <row r="12" spans="1:1">
      <c r="A12" s="44" t="s">
        <v>69</v>
      </c>
    </row>
    <row r="13" spans="1:1">
      <c r="A13" s="44" t="s">
        <v>71</v>
      </c>
    </row>
    <row r="14" spans="1:1">
      <c r="A14" s="44" t="s">
        <v>73</v>
      </c>
    </row>
    <row r="15" spans="1:1">
      <c r="A15" s="44" t="s">
        <v>75</v>
      </c>
    </row>
    <row r="16" spans="1:1">
      <c r="A16" s="44" t="s">
        <v>77</v>
      </c>
    </row>
    <row r="17" spans="1:1">
      <c r="A17" s="44" t="s">
        <v>79</v>
      </c>
    </row>
    <row r="18" spans="1:1">
      <c r="A18" s="44" t="s">
        <v>81</v>
      </c>
    </row>
    <row r="19" spans="1:1">
      <c r="A19" s="44" t="s">
        <v>83</v>
      </c>
    </row>
    <row r="20" spans="1:1">
      <c r="A20" s="44" t="s">
        <v>85</v>
      </c>
    </row>
    <row r="21" spans="1:1">
      <c r="A21" s="44" t="s">
        <v>87</v>
      </c>
    </row>
    <row r="22" spans="1:1">
      <c r="A22" s="44" t="s">
        <v>89</v>
      </c>
    </row>
    <row r="23" spans="1:1">
      <c r="A23" s="44" t="s">
        <v>91</v>
      </c>
    </row>
    <row r="24" spans="1:1">
      <c r="A24" s="44" t="s">
        <v>93</v>
      </c>
    </row>
    <row r="25" spans="1:1">
      <c r="A25" s="44" t="s">
        <v>95</v>
      </c>
    </row>
    <row r="26" spans="1:1">
      <c r="A26" s="44" t="s">
        <v>97</v>
      </c>
    </row>
    <row r="27" spans="1:1">
      <c r="A27" s="44" t="s">
        <v>99</v>
      </c>
    </row>
    <row r="28" spans="1:1">
      <c r="A28" s="44" t="s">
        <v>101</v>
      </c>
    </row>
    <row r="29" spans="1:1">
      <c r="A29" s="44" t="s">
        <v>103</v>
      </c>
    </row>
    <row r="30" spans="1:1">
      <c r="A30" s="44" t="s">
        <v>105</v>
      </c>
    </row>
    <row r="31" spans="1:1">
      <c r="A31" s="44" t="s">
        <v>107</v>
      </c>
    </row>
    <row r="32" spans="1:1">
      <c r="A32" s="44" t="s">
        <v>109</v>
      </c>
    </row>
    <row r="33" spans="1:1">
      <c r="A33" s="44" t="s">
        <v>40</v>
      </c>
    </row>
    <row r="34" spans="1:1">
      <c r="A34" s="44" t="s">
        <v>112</v>
      </c>
    </row>
    <row r="35" spans="1:1">
      <c r="A35" s="44" t="s">
        <v>114</v>
      </c>
    </row>
    <row r="36" spans="1:1">
      <c r="A36" s="44" t="s">
        <v>116</v>
      </c>
    </row>
    <row r="37" spans="1:1">
      <c r="A37" s="44" t="s">
        <v>118</v>
      </c>
    </row>
    <row r="38" spans="1:1">
      <c r="A38" s="44" t="s">
        <v>120</v>
      </c>
    </row>
    <row r="39" spans="1:1">
      <c r="A39" s="44" t="s">
        <v>122</v>
      </c>
    </row>
    <row r="40" spans="1:1">
      <c r="A40" s="44" t="s">
        <v>124</v>
      </c>
    </row>
    <row r="41" spans="1:1">
      <c r="A41" s="44" t="s">
        <v>126</v>
      </c>
    </row>
    <row r="42" spans="1:1">
      <c r="A42" s="44" t="s">
        <v>128</v>
      </c>
    </row>
    <row r="43" spans="1:1">
      <c r="A43" s="44" t="s">
        <v>130</v>
      </c>
    </row>
    <row r="44" spans="1:1">
      <c r="A44" s="44" t="s">
        <v>132</v>
      </c>
    </row>
    <row r="45" spans="1:1">
      <c r="A45" s="147" t="s">
        <v>134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3.5"/>
  <sheetData>
    <row r="1" spans="1:1">
      <c r="A1" t="s">
        <v>598</v>
      </c>
    </row>
    <row r="2" spans="1:1">
      <c r="A2" t="s">
        <v>599</v>
      </c>
    </row>
    <row r="3" spans="1:1">
      <c r="A3" t="s">
        <v>600</v>
      </c>
    </row>
  </sheetData>
  <phoneticPr fontId="1"/>
  <pageMargins left="0.75" right="0.75" top="1" bottom="1" header="0.51200000000000001" footer="0.5120000000000000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topLeftCell="A2" workbookViewId="0"/>
  </sheetViews>
  <sheetFormatPr defaultRowHeight="13.5"/>
  <sheetData>
    <row r="2" spans="2:12" ht="15" thickBot="1">
      <c r="B2" s="1"/>
      <c r="C2" s="1"/>
      <c r="D2" s="1"/>
      <c r="E2" s="1"/>
      <c r="F2" s="1"/>
      <c r="G2" s="1"/>
      <c r="H2" s="1"/>
    </row>
    <row r="3" spans="2:12" ht="14.25">
      <c r="B3" s="1"/>
      <c r="C3" s="4" t="s">
        <v>601</v>
      </c>
      <c r="D3" s="6"/>
      <c r="E3" s="1"/>
      <c r="F3" s="5"/>
      <c r="G3" s="6"/>
      <c r="H3" s="1"/>
    </row>
    <row r="4" spans="2:12" ht="14.25">
      <c r="B4" s="1"/>
      <c r="C4" s="7" t="s">
        <v>602</v>
      </c>
      <c r="D4" s="1"/>
      <c r="E4" s="1"/>
      <c r="F4" s="1"/>
      <c r="G4" s="1"/>
      <c r="H4" s="1"/>
      <c r="I4" t="s">
        <v>603</v>
      </c>
      <c r="J4" t="s">
        <v>37</v>
      </c>
      <c r="L4" t="s">
        <v>39</v>
      </c>
    </row>
    <row r="5" spans="2:12" ht="14.25">
      <c r="B5" s="1"/>
      <c r="C5" s="7" t="s">
        <v>604</v>
      </c>
      <c r="D5" s="1"/>
      <c r="E5" s="1"/>
      <c r="F5" s="1" t="s">
        <v>599</v>
      </c>
      <c r="G5" s="1" t="s">
        <v>605</v>
      </c>
      <c r="H5" s="1"/>
      <c r="I5" t="s">
        <v>606</v>
      </c>
      <c r="J5" s="1" t="s">
        <v>607</v>
      </c>
      <c r="L5" s="1" t="s">
        <v>608</v>
      </c>
    </row>
    <row r="6" spans="2:12" ht="14.25">
      <c r="B6" s="1"/>
      <c r="C6" s="7" t="s">
        <v>609</v>
      </c>
      <c r="D6" s="1"/>
      <c r="E6" s="1"/>
      <c r="F6" s="1" t="s">
        <v>610</v>
      </c>
      <c r="G6" s="1" t="s">
        <v>611</v>
      </c>
      <c r="H6" s="1"/>
      <c r="I6" t="s">
        <v>612</v>
      </c>
      <c r="J6" s="1" t="s">
        <v>613</v>
      </c>
      <c r="L6" s="1" t="s">
        <v>614</v>
      </c>
    </row>
    <row r="7" spans="2:12" ht="14.25">
      <c r="B7" s="1"/>
      <c r="C7" s="7" t="s">
        <v>615</v>
      </c>
      <c r="D7" s="1"/>
      <c r="E7" s="1"/>
      <c r="F7" s="1" t="s">
        <v>616</v>
      </c>
      <c r="G7" s="1" t="s">
        <v>617</v>
      </c>
      <c r="H7" s="1"/>
      <c r="I7" t="s">
        <v>618</v>
      </c>
      <c r="J7" s="1" t="s">
        <v>619</v>
      </c>
      <c r="L7" s="1" t="s">
        <v>620</v>
      </c>
    </row>
    <row r="8" spans="2:12" ht="14.25">
      <c r="B8" s="1"/>
      <c r="C8" s="7"/>
      <c r="D8" s="1"/>
      <c r="E8" s="1"/>
      <c r="F8" s="1" t="s">
        <v>598</v>
      </c>
      <c r="G8" s="1" t="s">
        <v>621</v>
      </c>
      <c r="H8" s="1"/>
      <c r="J8" s="1" t="s">
        <v>622</v>
      </c>
      <c r="L8" s="1" t="s">
        <v>623</v>
      </c>
    </row>
    <row r="9" spans="2:12" ht="14.25">
      <c r="B9" s="1"/>
      <c r="C9" s="7"/>
      <c r="D9" s="1"/>
      <c r="E9" s="1"/>
      <c r="F9" s="1"/>
      <c r="G9" s="1" t="s">
        <v>624</v>
      </c>
      <c r="H9" s="1"/>
      <c r="J9" s="1" t="s">
        <v>625</v>
      </c>
      <c r="L9" s="1" t="s">
        <v>622</v>
      </c>
    </row>
    <row r="10" spans="2:12" ht="14.25">
      <c r="B10" s="1"/>
      <c r="C10" s="7"/>
      <c r="D10" s="1"/>
      <c r="E10" s="1"/>
      <c r="F10" s="1"/>
      <c r="G10" s="1"/>
      <c r="H10" s="1"/>
      <c r="I10" t="s">
        <v>626</v>
      </c>
      <c r="J10" s="1" t="s">
        <v>627</v>
      </c>
      <c r="L10" s="1" t="s">
        <v>619</v>
      </c>
    </row>
    <row r="11" spans="2:12" ht="14.25">
      <c r="B11" s="1"/>
      <c r="C11" s="7"/>
      <c r="D11" s="1"/>
      <c r="E11" s="1"/>
      <c r="F11" s="1" t="s">
        <v>628</v>
      </c>
      <c r="G11" s="1"/>
      <c r="H11" s="1"/>
      <c r="I11" t="s">
        <v>629</v>
      </c>
      <c r="J11" s="1" t="s">
        <v>630</v>
      </c>
      <c r="L11" s="1" t="s">
        <v>613</v>
      </c>
    </row>
    <row r="12" spans="2:12" ht="14.25">
      <c r="B12" s="1"/>
      <c r="C12" s="7"/>
      <c r="D12" s="1"/>
      <c r="E12" s="1"/>
      <c r="F12" s="1" t="s">
        <v>7</v>
      </c>
      <c r="G12" s="1"/>
      <c r="H12" s="1"/>
      <c r="I12" t="s">
        <v>631</v>
      </c>
      <c r="J12" s="1" t="s">
        <v>632</v>
      </c>
      <c r="L12" s="1" t="s">
        <v>607</v>
      </c>
    </row>
    <row r="13" spans="2:12" ht="14.25">
      <c r="B13" s="1"/>
      <c r="C13" s="7"/>
      <c r="D13" s="1"/>
      <c r="E13" s="1"/>
      <c r="F13" s="1" t="s">
        <v>8</v>
      </c>
      <c r="G13" s="1"/>
      <c r="H13" s="1"/>
      <c r="J13" s="1" t="s">
        <v>633</v>
      </c>
    </row>
    <row r="14" spans="2:12" ht="14.25">
      <c r="B14" s="1"/>
      <c r="C14" s="7"/>
      <c r="D14" s="1"/>
      <c r="E14" s="1"/>
      <c r="F14" s="1" t="s">
        <v>634</v>
      </c>
      <c r="G14" s="1"/>
      <c r="H14" s="1"/>
    </row>
    <row r="15" spans="2:12" ht="14.25">
      <c r="B15" s="1"/>
      <c r="C15" s="7"/>
      <c r="D15" s="1"/>
      <c r="E15" s="1"/>
      <c r="F15" s="1"/>
      <c r="G15" s="1"/>
      <c r="H15" s="1"/>
    </row>
    <row r="16" spans="2:12" ht="14.25">
      <c r="B16" s="1"/>
      <c r="C16" s="7"/>
      <c r="D16" s="1"/>
      <c r="E16" s="1"/>
      <c r="F16" s="1"/>
      <c r="G16" s="1"/>
      <c r="H16" s="1"/>
    </row>
    <row r="17" spans="2:9" ht="14.25">
      <c r="B17" s="1"/>
      <c r="C17" s="7"/>
      <c r="D17" s="1"/>
      <c r="E17" s="1"/>
      <c r="F17" s="1"/>
      <c r="G17" s="1"/>
      <c r="H17" s="1"/>
    </row>
    <row r="18" spans="2:9" ht="14.25">
      <c r="B18" s="1"/>
      <c r="C18" s="7"/>
      <c r="D18" s="1"/>
      <c r="E18" s="1"/>
      <c r="F18" s="1"/>
      <c r="G18" s="1"/>
      <c r="H18" s="1"/>
      <c r="I18" t="s">
        <v>635</v>
      </c>
    </row>
    <row r="19" spans="2:9" ht="14.25">
      <c r="B19" s="1"/>
      <c r="C19" s="7"/>
      <c r="D19" s="1"/>
      <c r="E19" s="1"/>
      <c r="F19" s="1"/>
      <c r="G19" s="1"/>
      <c r="H19" s="1"/>
      <c r="I19" t="s">
        <v>636</v>
      </c>
    </row>
    <row r="20" spans="2:9" ht="14.25">
      <c r="B20" s="1"/>
      <c r="C20" s="7"/>
      <c r="D20" s="1"/>
      <c r="E20" s="1"/>
      <c r="F20" s="1"/>
      <c r="G20" s="1"/>
      <c r="H20" s="1"/>
      <c r="I20" t="s">
        <v>637</v>
      </c>
    </row>
    <row r="21" spans="2:9" ht="14.25">
      <c r="B21" s="1"/>
      <c r="C21" s="7"/>
      <c r="D21" s="1"/>
      <c r="E21" s="1"/>
      <c r="F21" s="1"/>
      <c r="G21" s="1"/>
      <c r="H21" s="1"/>
    </row>
    <row r="22" spans="2:9" ht="15" thickBot="1">
      <c r="B22" s="1"/>
      <c r="C22" s="8"/>
      <c r="D22" s="9"/>
      <c r="E22" s="1"/>
      <c r="F22" s="9"/>
      <c r="G22" s="9"/>
      <c r="H22" s="1"/>
    </row>
    <row r="23" spans="2:9" ht="14.25">
      <c r="B23" s="1"/>
      <c r="C23" s="1"/>
      <c r="D23" s="1"/>
      <c r="E23" s="1"/>
      <c r="F23" s="1"/>
      <c r="G23" s="1"/>
      <c r="H23" s="1"/>
    </row>
    <row r="24" spans="2:9" ht="14.25">
      <c r="B24" s="1"/>
      <c r="C24" s="1"/>
      <c r="D24" s="1"/>
      <c r="E24" s="1"/>
      <c r="F24" s="1"/>
      <c r="G24" s="1"/>
      <c r="H24" s="1"/>
    </row>
    <row r="25" spans="2:9" ht="14.25">
      <c r="B25" s="1"/>
      <c r="C25" s="1"/>
      <c r="D25" s="1"/>
      <c r="E25" s="1"/>
      <c r="F25" s="1"/>
      <c r="G25" s="1"/>
      <c r="H25" s="1"/>
    </row>
    <row r="26" spans="2:9" ht="14.25">
      <c r="B26" s="1"/>
      <c r="C26" s="1"/>
      <c r="D26" s="1"/>
      <c r="E26" s="1"/>
      <c r="F26" s="1"/>
      <c r="G26" s="1"/>
      <c r="H26" s="1"/>
    </row>
    <row r="27" spans="2:9" ht="14.25">
      <c r="B27" s="1"/>
      <c r="C27" s="1"/>
      <c r="D27" s="1"/>
      <c r="E27" s="1"/>
      <c r="F27" s="1"/>
      <c r="G27" s="1"/>
      <c r="H27" s="1"/>
    </row>
    <row r="28" spans="2:9" ht="14.25">
      <c r="B28" s="1"/>
      <c r="C28" s="1"/>
      <c r="D28" s="1"/>
      <c r="E28" s="1"/>
      <c r="F28" s="1"/>
      <c r="G28" s="1"/>
      <c r="H28" s="1"/>
    </row>
  </sheetData>
  <phoneticPr fontId="1"/>
  <dataValidations count="2">
    <dataValidation type="list" allowBlank="1" showInputMessage="1" showErrorMessage="1" sqref="F12:F14">
      <formula1>status</formula1>
    </dataValidation>
    <dataValidation type="list" allowBlank="1" showInputMessage="1" showErrorMessage="1" sqref="D12:D19">
      <formula1>Measure</formula1>
    </dataValidation>
  </dataValidations>
  <pageMargins left="0.75" right="0.75" top="1" bottom="1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3A6848016F2E94CA7B802435E547904" ma:contentTypeVersion="4" ma:contentTypeDescription="新しいドキュメントを作成します。" ma:contentTypeScope="" ma:versionID="8ae6c20be8ac597d90e10bae8aee0189">
  <xsd:schema xmlns:xsd="http://www.w3.org/2001/XMLSchema" xmlns:xs="http://www.w3.org/2001/XMLSchema" xmlns:p="http://schemas.microsoft.com/office/2006/metadata/properties" xmlns:ns2="5fe2ab7c-2907-4623-a7af-83741430fe5c" targetNamespace="http://schemas.microsoft.com/office/2006/metadata/properties" ma:root="true" ma:fieldsID="686d51dd3f99328a94b1a2364822a08d" ns2:_="">
    <xsd:import namespace="5fe2ab7c-2907-4623-a7af-83741430f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2ab7c-2907-4623-a7af-83741430f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D0E4B2-1048-4895-814E-ABB609435D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e2ab7c-2907-4623-a7af-83741430f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8A7144-6FDD-480C-B4DF-391306AF5A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CBAF899-B369-4BF2-8D47-C58CD03DFD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UFS</vt:lpstr>
      <vt:lpstr>Time Zone</vt:lpstr>
      <vt:lpstr>UFS_Security</vt:lpstr>
      <vt:lpstr>UFS+_Security</vt:lpstr>
      <vt:lpstr>UWS2.0</vt:lpstr>
      <vt:lpstr>UWS2.0 Role</vt:lpstr>
      <vt:lpstr>Time Zone List</vt:lpstr>
      <vt:lpstr>User Type</vt:lpstr>
      <vt:lpstr>Sheet1</vt:lpstr>
      <vt:lpstr>actuate</vt:lpstr>
      <vt:lpstr>class</vt:lpstr>
      <vt:lpstr>environment</vt:lpstr>
      <vt:lpstr>Measure</vt:lpstr>
      <vt:lpstr>request</vt:lpstr>
      <vt:lpstr>security</vt:lpstr>
      <vt:lpstr>status</vt:lpstr>
      <vt:lpstr>user_type</vt:lpstr>
      <vt:lpstr>Weight</vt:lpstr>
    </vt:vector>
  </TitlesOfParts>
  <Manager/>
  <Company>Accenture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keitaro.okamoto</dc:creator>
  <cp:keywords/>
  <dc:description/>
  <cp:lastModifiedBy>Windows User</cp:lastModifiedBy>
  <cp:revision/>
  <dcterms:created xsi:type="dcterms:W3CDTF">2003-07-29T05:28:12Z</dcterms:created>
  <dcterms:modified xsi:type="dcterms:W3CDTF">2026-07-20T05:54:09Z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0x010100D3A6848016F2E94CA7B802435E547904</vt:lpwstr>
  </property>
  <property fmtid="{D5CDD505-2E9C-101B-9397-08002B2CF9AE}" pid="3" name="MediaServiceImageTags">
    <vt:lpwstr/>
  </property>
</Properties>
</file>