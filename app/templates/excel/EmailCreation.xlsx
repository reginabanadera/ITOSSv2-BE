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LOBAL SYSTEMS\"/>
    </mc:Choice>
  </mc:AlternateContent>
  <xr:revisionPtr revIDLastSave="0" documentId="8_{B507092A-4A69-42B9-95B2-44377D936A5E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User Account Request" sheetId="12" r:id="rId1"/>
    <sheet name="xref" sheetId="16" state="hidden" r:id="rId2"/>
    <sheet name="Revisions" sheetId="8" state="hidden" r:id="rId3"/>
  </sheets>
  <definedNames>
    <definedName name="_xlnm._FilterDatabase" localSheetId="1" hidden="1">xref!$H$1:$H$41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2" l="1"/>
  <c r="D40" i="12" l="1"/>
  <c r="D44" i="12"/>
  <c r="D43" i="12"/>
  <c r="D42" i="12" l="1"/>
  <c r="D41" i="12"/>
</calcChain>
</file>

<file path=xl/sharedStrings.xml><?xml version="1.0" encoding="utf-8"?>
<sst xmlns="http://schemas.openxmlformats.org/spreadsheetml/2006/main" count="830" uniqueCount="463">
  <si>
    <t>User Account Request</t>
  </si>
  <si>
    <t>Item</t>
  </si>
  <si>
    <t>Description</t>
  </si>
  <si>
    <t>Value</t>
  </si>
  <si>
    <t>Requested By</t>
  </si>
  <si>
    <t>Local IT</t>
    <phoneticPr fontId="6"/>
  </si>
  <si>
    <t>Requested Date</t>
  </si>
  <si>
    <t>Approved By</t>
  </si>
  <si>
    <t>Local IT Manager</t>
    <phoneticPr fontId="6"/>
  </si>
  <si>
    <t>Approved Date</t>
  </si>
  <si>
    <t>KWE WHD Ticket</t>
  </si>
  <si>
    <t>User Information</t>
  </si>
  <si>
    <t>Item</t>
    <phoneticPr fontId="6"/>
  </si>
  <si>
    <t>Description</t>
    <phoneticPr fontId="6"/>
  </si>
  <si>
    <t>Example</t>
  </si>
  <si>
    <t>Type of Request</t>
    <phoneticPr fontId="6"/>
  </si>
  <si>
    <t>Create, Update, Delete, etc.</t>
  </si>
  <si>
    <t>CREATE User</t>
  </si>
  <si>
    <t>First Name</t>
    <phoneticPr fontId="6"/>
  </si>
  <si>
    <t>Joe</t>
  </si>
  <si>
    <t>Middle Name</t>
    <phoneticPr fontId="6"/>
  </si>
  <si>
    <t>Kay</t>
  </si>
  <si>
    <t>Last Name</t>
    <phoneticPr fontId="6"/>
  </si>
  <si>
    <t>Kintetsu</t>
  </si>
  <si>
    <t>Display Name</t>
  </si>
  <si>
    <t>First Middle Last</t>
  </si>
  <si>
    <t>Joe Kay Kintetsu</t>
  </si>
  <si>
    <t>Primary Email Address</t>
  </si>
  <si>
    <t>User logon email address</t>
  </si>
  <si>
    <t>joe.kintetsu@kwe.com</t>
  </si>
  <si>
    <t>Alias Email Address(es)</t>
  </si>
  <si>
    <t xml:space="preserve">joekay.kintetsu@kwe.com
joe.kintetsu@am.kwe.com
joe.kintetsu@ao.kwe.com </t>
  </si>
  <si>
    <t>Manager Name</t>
  </si>
  <si>
    <t>joe.manager@kwe.com</t>
  </si>
  <si>
    <t>Job Title</t>
  </si>
  <si>
    <t>Director</t>
  </si>
  <si>
    <t>Work Phone Number</t>
  </si>
  <si>
    <t>Region</t>
  </si>
  <si>
    <t>AM, EMEA, JTK, etc.</t>
  </si>
  <si>
    <t>JTK</t>
  </si>
  <si>
    <t>Country</t>
    <phoneticPr fontId="6"/>
  </si>
  <si>
    <t>United Kingdom</t>
    <phoneticPr fontId="6"/>
  </si>
  <si>
    <t>Japan</t>
  </si>
  <si>
    <t>Company</t>
  </si>
  <si>
    <t>KWEJP, KWEHK</t>
    <phoneticPr fontId="6"/>
  </si>
  <si>
    <t>KWEJP</t>
  </si>
  <si>
    <t>UFS Terminal ID</t>
    <phoneticPr fontId="6"/>
  </si>
  <si>
    <t>Department</t>
  </si>
  <si>
    <t>User's Home Address</t>
  </si>
  <si>
    <t>Street, City, State, Zip, Country</t>
  </si>
  <si>
    <t>Groups</t>
  </si>
  <si>
    <t>ADD TO Group(s)</t>
  </si>
  <si>
    <t>Email Address(es)</t>
  </si>
  <si>
    <t>group.one@kwe.com
group.two@kwe.com
group.three@kwe.com
group.four@kwe.com</t>
  </si>
  <si>
    <t>REMOVE FROM Group(s)</t>
  </si>
  <si>
    <t>group.five@kwe.com
group.six@kwe.com
group.seven@kwe.com
group.eight@kwe.com</t>
  </si>
  <si>
    <t>Licenses</t>
  </si>
  <si>
    <t>M365 License</t>
  </si>
  <si>
    <t>Exchange Online</t>
  </si>
  <si>
    <t>Optional Licenses</t>
  </si>
  <si>
    <t>Must be approved by Manager</t>
  </si>
  <si>
    <t>Power BI, Project Plan, etc.</t>
  </si>
  <si>
    <t>Global Protect</t>
    <phoneticPr fontId="6"/>
  </si>
  <si>
    <t>Additional AD Properties (on-premise AD &amp; Azure)</t>
  </si>
  <si>
    <t>Location</t>
  </si>
  <si>
    <t>KWE domain</t>
  </si>
  <si>
    <t>am.kwe.com, jp.kwe.com, etc.</t>
  </si>
  <si>
    <t>Active Directory OU</t>
  </si>
  <si>
    <t>United Kingdom &gt; KWEUK &gt; Users</t>
  </si>
  <si>
    <t>User logon name</t>
  </si>
  <si>
    <t>AD &gt; Account tab</t>
  </si>
  <si>
    <t>User logon name (pre-Windows 2000)</t>
  </si>
  <si>
    <t>ProxyAddress(es)</t>
  </si>
  <si>
    <t>AD &gt; Attribute Editor</t>
  </si>
  <si>
    <t>M365 &gt; Licenses and apps</t>
  </si>
  <si>
    <t>Type of Request</t>
  </si>
  <si>
    <t>Region</t>
    <phoneticPr fontId="6"/>
  </si>
  <si>
    <t>Domain</t>
    <phoneticPr fontId="6"/>
  </si>
  <si>
    <t>Country</t>
  </si>
  <si>
    <t>Domain</t>
  </si>
  <si>
    <t>KWE Country</t>
  </si>
  <si>
    <t>OU</t>
  </si>
  <si>
    <t>AD OU</t>
  </si>
  <si>
    <t>Country code</t>
  </si>
  <si>
    <t>Organizational Unit (OU)</t>
  </si>
  <si>
    <t>&lt; Please Select &gt;</t>
  </si>
  <si>
    <t>M365 E5</t>
  </si>
  <si>
    <t>&lt; Please Select Region &gt;</t>
  </si>
  <si>
    <t>Australia</t>
  </si>
  <si>
    <t>OU=Sydney,OU=Users,OU=KWEAU,OU=Australia</t>
  </si>
  <si>
    <t>Brazil</t>
  </si>
  <si>
    <t>AM</t>
  </si>
  <si>
    <t>KWEBR</t>
  </si>
  <si>
    <t>BR</t>
  </si>
  <si>
    <t>OU=Brazil,OU=US,OU=KWEAM Users,DC=am,DC=kwe,DC=com</t>
  </si>
  <si>
    <t>am.kwe.com</t>
    <phoneticPr fontId="6"/>
  </si>
  <si>
    <t>SEO</t>
  </si>
  <si>
    <t>se.kwe.com</t>
  </si>
  <si>
    <t>EOHQ</t>
  </si>
  <si>
    <t>OU=Users,OU=KWEAU,OU=Australia</t>
  </si>
  <si>
    <t>Canada</t>
  </si>
  <si>
    <t>KWECA</t>
  </si>
  <si>
    <t>CA</t>
  </si>
  <si>
    <t>OU=CA,OU=KWEAM Users,DC=am,DC=kwe,DC=com</t>
  </si>
  <si>
    <t>UPDATE User</t>
  </si>
  <si>
    <t>EA</t>
  </si>
  <si>
    <t>eo.kwe.com</t>
    <phoneticPr fontId="6"/>
  </si>
  <si>
    <t>Bahrain</t>
  </si>
  <si>
    <t>EMEA</t>
  </si>
  <si>
    <t>emea.kwe.com</t>
  </si>
  <si>
    <t>KCI</t>
  </si>
  <si>
    <t>OU=Melbourne,OU=Users,OU=KWEAU,OU=Australia</t>
  </si>
  <si>
    <t>Mexico</t>
  </si>
  <si>
    <t>KWEMX</t>
  </si>
  <si>
    <t>MX</t>
  </si>
  <si>
    <t>OU=MX,OU=KWEAM Users,DC=am,DC=kwe,DC=com</t>
  </si>
  <si>
    <t>DELETE User</t>
  </si>
  <si>
    <t>emea.kwe.com</t>
    <phoneticPr fontId="6"/>
  </si>
  <si>
    <t>Bangladesh</t>
  </si>
  <si>
    <t>KGIT</t>
  </si>
  <si>
    <t>OU=Utility,OU=Users,OU=KWEAU,OU=Australia</t>
  </si>
  <si>
    <t>United States of America</t>
  </si>
  <si>
    <t>KWEAM</t>
  </si>
  <si>
    <t>OU=US,OU=KWEAM Users,DC=am,DC=kwe,DC=com</t>
  </si>
  <si>
    <t>Password Reset</t>
  </si>
  <si>
    <t>jp.kwe.com</t>
    <phoneticPr fontId="6"/>
  </si>
  <si>
    <t>Belgium</t>
  </si>
  <si>
    <t>KGIT-India</t>
  </si>
  <si>
    <t>OU=Terminated,OU=Users,OU=KWEAU,OU=Australia</t>
  </si>
  <si>
    <t>China</t>
  </si>
  <si>
    <t>KWECN</t>
  </si>
  <si>
    <t>CN</t>
  </si>
  <si>
    <t>OU=KWECN,OU=China,DC=eo,DC=kwe,DC=com</t>
  </si>
  <si>
    <t>kgit.kwe.com</t>
    <phoneticPr fontId="6"/>
  </si>
  <si>
    <t>am.kwe.com</t>
  </si>
  <si>
    <t>Kintetsu World Express</t>
  </si>
  <si>
    <t>OU=Users,OU=KWEBH,OU=Bahrain</t>
  </si>
  <si>
    <t>Hong Kong</t>
  </si>
  <si>
    <t>KWEHK</t>
  </si>
  <si>
    <t>HK</t>
  </si>
  <si>
    <t>OU=KWEHK,OU=Hong Kong,DC=eo,DC=kwe,DC=com</t>
  </si>
  <si>
    <t>se.kwe.com</t>
    <phoneticPr fontId="6"/>
  </si>
  <si>
    <t>Cambodia</t>
  </si>
  <si>
    <t>Kintetsu World Express (Benelux) B.V.</t>
  </si>
  <si>
    <t>OU=Users,OU=KWEBD,OU=Bangladesh</t>
  </si>
  <si>
    <t>Austria</t>
  </si>
  <si>
    <t>KWEAT</t>
  </si>
  <si>
    <t>AT</t>
  </si>
  <si>
    <t>No information</t>
  </si>
  <si>
    <t>Kintetsu World Express (Czech) s.r.o.</t>
  </si>
  <si>
    <t>OU=Users,OU=KWEBE,OU=Belgium</t>
  </si>
  <si>
    <t>KWEBH</t>
  </si>
  <si>
    <t>BH</t>
  </si>
  <si>
    <t>OU=KWEBH,OU=Bahrain,DC=emea,DC=kwe,DC=com</t>
  </si>
  <si>
    <t>eo.kwe.com</t>
  </si>
  <si>
    <t>Kintetsu World Express (Deutschland) GmbH</t>
  </si>
  <si>
    <t>OU=Brazil,OU=US,OU=KWEAM Users</t>
  </si>
  <si>
    <t>KWEBE</t>
  </si>
  <si>
    <t>BE</t>
  </si>
  <si>
    <t>OU=KWEBE,OU=Belgium,DC=emea,DC=kwe,DC=com</t>
  </si>
  <si>
    <t>Czech Republic</t>
  </si>
  <si>
    <t>Kintetsu World Express (EA) B.V.</t>
  </si>
  <si>
    <t>OU=Users,OU=KWEKH,OU=Cambodia</t>
  </si>
  <si>
    <t>KWECZ</t>
  </si>
  <si>
    <t>CZ</t>
  </si>
  <si>
    <t>OU=KWECZ,OU=Czech Republic,DC=emea,DC=kwe,DC=com</t>
  </si>
  <si>
    <t>France</t>
  </si>
  <si>
    <t>Kintetsu World Express (EA) B.V. Romania Branch</t>
  </si>
  <si>
    <t>OU=Disabled Users,OU=CA,OU=KWEAM Users</t>
  </si>
  <si>
    <t>KWEFR</t>
  </si>
  <si>
    <t>FR</t>
  </si>
  <si>
    <t>OU=KWEFR,OU=France,DC=emea,DC=kwe,DC=com</t>
  </si>
  <si>
    <t>Germany</t>
  </si>
  <si>
    <t>Kintetsu World Express (France) S.A.S.</t>
  </si>
  <si>
    <t>OU=YYZ,OU=CA,OU=KWEAM Users</t>
  </si>
  <si>
    <t>KWEDE</t>
  </si>
  <si>
    <t>DE</t>
  </si>
  <si>
    <t>OU=KWEDE,OU=Germany,DC=emea,DC=kwe,DC=com</t>
  </si>
  <si>
    <t>Kintetsu World Express (Ireland) Limited.</t>
  </si>
  <si>
    <t>OU=YYZ2,OU=CA,OU=KWEAM Users</t>
  </si>
  <si>
    <t>Iceland</t>
  </si>
  <si>
    <t>KWEIS</t>
  </si>
  <si>
    <t>IS</t>
  </si>
  <si>
    <t>India</t>
  </si>
  <si>
    <t>Kintetsu World Express (Italia) Srl</t>
  </si>
  <si>
    <t>OU=YYC,OU=CA,OU=KWEAM Users</t>
  </si>
  <si>
    <t>Ireland</t>
  </si>
  <si>
    <t>KWEIE</t>
  </si>
  <si>
    <t>IE</t>
  </si>
  <si>
    <t>OU=KWEIE,OU=Ireland,DC=emea,DC=kwe,DC=com</t>
  </si>
  <si>
    <t>Indonesia</t>
  </si>
  <si>
    <t>Kintetsu World Express (Middle East) DWC LLC</t>
  </si>
  <si>
    <t>OU=YUL,OU=CA,OU=KWEAM Users</t>
  </si>
  <si>
    <t>Italy</t>
  </si>
  <si>
    <t>KWEIT</t>
  </si>
  <si>
    <t>IT</t>
  </si>
  <si>
    <t>OU=KWEIT,OU=Italy,DC=emea,DC=kwe,DC=com</t>
  </si>
  <si>
    <t>Kintetsu World Express (RUS), Inc. LLC</t>
  </si>
  <si>
    <t>OU=YHZ2,OU=CA,OU=KWEAM Users</t>
  </si>
  <si>
    <t>Netherlands</t>
  </si>
  <si>
    <t>KWENL</t>
  </si>
  <si>
    <t>NL</t>
  </si>
  <si>
    <t>OU=KWENL,OU=Netherlands,DC=emea,DC=kwe,DC=com</t>
  </si>
  <si>
    <t>Kintetsu World Express (Saudi Arabia) Ltd.</t>
  </si>
  <si>
    <t>OU=BRA2,OU=CA,OU=KWEAM Users</t>
  </si>
  <si>
    <t>Romania</t>
  </si>
  <si>
    <t>KWERO</t>
  </si>
  <si>
    <t>RO</t>
  </si>
  <si>
    <t>OU=KWERO,OU=Romania,DC=emea,DC=kwe,DC=com</t>
  </si>
  <si>
    <t>jp.kwe.com</t>
  </si>
  <si>
    <t>Kintetsu World Express (Saudi Arabia) Ltd. Bahrain Branch</t>
  </si>
  <si>
    <t>OU=GLP,OU=CA,OU=KWEAM Users</t>
  </si>
  <si>
    <t>Russia</t>
  </si>
  <si>
    <t>KWERU</t>
  </si>
  <si>
    <t>RU</t>
  </si>
  <si>
    <t>OU=KWERU,OU=Russia,DC=emea,DC=kwe,DC=com</t>
  </si>
  <si>
    <t>KGIT</t>
    <phoneticPr fontId="14"/>
  </si>
  <si>
    <t>kgit.kwe.com</t>
  </si>
  <si>
    <t>Kintetsu World Express (Sweden) AB</t>
  </si>
  <si>
    <t>OU=MIL,OU=CA,OU=KWEAM Users</t>
  </si>
  <si>
    <t>Saudi Arabia</t>
  </si>
  <si>
    <t>KWESA</t>
  </si>
  <si>
    <t>SA</t>
  </si>
  <si>
    <t>OU=KWESA,OU=Saudi Arabia,DC=emea,DC=kwe,DC=com</t>
  </si>
  <si>
    <t>Korea</t>
  </si>
  <si>
    <t>Kintetsu World Express (Switzerland) Ltd.</t>
  </si>
  <si>
    <t>OU=LON,OU=CA,OU=KWEAM Users</t>
  </si>
  <si>
    <t>South Africa</t>
  </si>
  <si>
    <t>KWEZA</t>
  </si>
  <si>
    <t>ZA</t>
  </si>
  <si>
    <t>OU=KWEZA,OU=South Africa,DC=emea,DC=kwe,DC=com</t>
  </si>
  <si>
    <t>Malaysia</t>
  </si>
  <si>
    <t>Kintetsu World Express (U.K.) Ltd.</t>
  </si>
  <si>
    <t>OU=WNP,OU=CA,OU=KWEAM Users</t>
  </si>
  <si>
    <t>Sweden</t>
  </si>
  <si>
    <t>KWESE</t>
  </si>
  <si>
    <t>SE</t>
  </si>
  <si>
    <t>OU=KWESE,OU=Sweden,DC=emea,DC=kwe,DC=com</t>
  </si>
  <si>
    <t>Kintetsu World Express (U.S.A.), Inc.</t>
  </si>
  <si>
    <t>OU=YVR,OU=CA,OU=KWEAM Users</t>
  </si>
  <si>
    <t>Switzerland</t>
  </si>
  <si>
    <t>KWECH</t>
  </si>
  <si>
    <t>CH</t>
  </si>
  <si>
    <t>OU=KWECH,OU=Switzerland,DC=emea,DC=kwe,DC=com</t>
  </si>
  <si>
    <t>Myanmar</t>
  </si>
  <si>
    <t>Kintetsu World Express Mexico, S.A. de C.V.</t>
  </si>
  <si>
    <t>OU=MIS2,OU=CA,OU=KWEAM Users</t>
  </si>
  <si>
    <t>Turkey</t>
  </si>
  <si>
    <t>KWETR</t>
  </si>
  <si>
    <t>TR</t>
  </si>
  <si>
    <t>Kintetsu World Express Mexico, S.A. de C.V. (EXPAT)</t>
  </si>
  <si>
    <t>OU=BRA,OU=CA,OU=KWEAM Users</t>
  </si>
  <si>
    <t>United Arab Emirates</t>
  </si>
  <si>
    <t>KWEAE</t>
  </si>
  <si>
    <t>AE</t>
  </si>
  <si>
    <t>OU=KWEAE,OU=United Arab Emirates,DC=emea,DC=kwe,DC=com</t>
  </si>
  <si>
    <t>Philippines</t>
  </si>
  <si>
    <t>Kintetsu World Express South Africa (Pty) Ltd.</t>
  </si>
  <si>
    <t>OU=YVR2,OU=CA,OU=KWEAM Users</t>
  </si>
  <si>
    <t>United Kingdom</t>
  </si>
  <si>
    <t>KWEUK</t>
  </si>
  <si>
    <t>UK</t>
  </si>
  <si>
    <t>OU=KWEUK,OU=United Kingdom,DC=emea,DC=kwe,DC=com</t>
  </si>
  <si>
    <t>Kintetsu World Express, Inc.</t>
  </si>
  <si>
    <t>OU=YHZ,OU=CA,OU=KWEAM Users</t>
  </si>
  <si>
    <t>JP</t>
  </si>
  <si>
    <t>OU=KWEJP,OU=Japan,DC=jp,DC=kwe,DC=com</t>
  </si>
  <si>
    <t>KLS</t>
  </si>
  <si>
    <t>OU=WND,OU=CA,OU=KWEAM Users</t>
  </si>
  <si>
    <t>South Korea</t>
  </si>
  <si>
    <t>KWEKR</t>
  </si>
  <si>
    <t>KR</t>
  </si>
  <si>
    <t>OU=KWEKR,OU=South Korea,DC=eo,DC=kwe,DC=com</t>
  </si>
  <si>
    <t>KWE Canada Inc.</t>
  </si>
  <si>
    <t>OU=CAL,OU=CA,OU=KWEAM Users</t>
  </si>
  <si>
    <t>Taiwan</t>
  </si>
  <si>
    <t>KWETW</t>
  </si>
  <si>
    <t>TW</t>
  </si>
  <si>
    <t>OU=KWETW,OU=Taiwan,DC=eo,DC=kwe,DC=com</t>
  </si>
  <si>
    <t>Singapore</t>
  </si>
  <si>
    <t>KWEAU</t>
  </si>
  <si>
    <t>OU=YOW,OU=CA,OU=KWEAM Users</t>
  </si>
  <si>
    <t>OU=Azure WVD,DC=kgit,DC=kwe,DC=com</t>
  </si>
  <si>
    <t>KWEBD</t>
  </si>
  <si>
    <t>OU=BLT,OU=CA,OU=KWEAM Users</t>
  </si>
  <si>
    <t>AU</t>
  </si>
  <si>
    <t>OU=KWEAU,OU=Australia,DC=se,DC=kwe,DC=com</t>
  </si>
  <si>
    <t>OU=FER,OU=CA,OU=KWEAM Users</t>
  </si>
  <si>
    <t>BD</t>
  </si>
  <si>
    <t>OU=KWEBD,OU=Bangladesh,DC=se,DC=kwe,DC=com</t>
  </si>
  <si>
    <t>Sri Lanka</t>
  </si>
  <si>
    <t>OU=Users,OU=KWECN,OU=China</t>
  </si>
  <si>
    <t>KWEKH</t>
  </si>
  <si>
    <t>KH</t>
  </si>
  <si>
    <t>OU=KWEKH,OU=Cambodia,DC=se,DC=kwe,DC=com</t>
  </si>
  <si>
    <t>OU=Users,OU=KWECN (SZX),OU=China</t>
  </si>
  <si>
    <t>KWEIN</t>
  </si>
  <si>
    <t>IN</t>
  </si>
  <si>
    <t>OU=KWEIN,OU=India,DC=se,DC=kwe,DC=com</t>
  </si>
  <si>
    <t>OU=Users,OU=KWECN (CAN),OU=China</t>
  </si>
  <si>
    <t>KWEID</t>
  </si>
  <si>
    <t>ID</t>
  </si>
  <si>
    <t>OU=KWEID,OU=Indonesia,DC=se,DC=kwe,DC=com</t>
  </si>
  <si>
    <t>OU=Users,OU=KWECZ,OU=Czech Republic</t>
  </si>
  <si>
    <t>KWEMY</t>
  </si>
  <si>
    <t>MY</t>
  </si>
  <si>
    <t>OU=KWEMY,OU=Malaysia,DC=se,DC=kwe,DC=com</t>
  </si>
  <si>
    <t>Thailand</t>
  </si>
  <si>
    <t>OU=Users,OU=KWEFR,OU=France</t>
  </si>
  <si>
    <t>KWEMM</t>
  </si>
  <si>
    <t>MM</t>
  </si>
  <si>
    <t>OU=KWEMM,OU=Myanmar,DC=se,DC=kwe,DC=com</t>
  </si>
  <si>
    <t>KWECN (CAN)</t>
  </si>
  <si>
    <t>OU=Users,OU=KWEDE,OU=Germany</t>
  </si>
  <si>
    <t>KWEPH</t>
  </si>
  <si>
    <t>PH</t>
  </si>
  <si>
    <t>OU=KWEPH,OU=Phillipines,DC=se,DC=kwe,DC=com</t>
  </si>
  <si>
    <t>KWECN (SZX)</t>
  </si>
  <si>
    <t>OU=Users,OU=KWEHK,OU=Hong Kong</t>
  </si>
  <si>
    <t>KWESG</t>
  </si>
  <si>
    <t>SG</t>
  </si>
  <si>
    <t>OU=KWESG,OU=Singapore,DC=se,DC=kwe,DC=com</t>
  </si>
  <si>
    <t>KWECN (XMN)</t>
  </si>
  <si>
    <t>OU=Users,OU=KWEIN,OU=India</t>
  </si>
  <si>
    <t>KWELK</t>
  </si>
  <si>
    <t>LK</t>
  </si>
  <si>
    <t>OU=KWELK,OU=Srilanka,DC=se,DC=kwe,DC=com</t>
  </si>
  <si>
    <t>Vietnam</t>
  </si>
  <si>
    <t>OU=KWEIN-BLR-HQ,OU=Users,OU=KWEIN,OU=India</t>
  </si>
  <si>
    <t>KWETH</t>
  </si>
  <si>
    <t>TH</t>
  </si>
  <si>
    <t>OU=KWETH,OU=Thailand,DC=se,DC=kwe,DC=com</t>
  </si>
  <si>
    <t>KWED</t>
  </si>
  <si>
    <t>OU=Users,OU=KWEID,OU=Indonesia</t>
  </si>
  <si>
    <t>KWEVN</t>
  </si>
  <si>
    <t>VN</t>
  </si>
  <si>
    <t>OU=KWEVN,OU=Vietnam,DC=se,DC=kwe,DC=com</t>
  </si>
  <si>
    <t>OU=Users,OU=KWEIE,OU=Ireland</t>
  </si>
  <si>
    <t>KWEEHQ</t>
  </si>
  <si>
    <t>OU=Users,OU=KWEIT,OU=Italy</t>
  </si>
  <si>
    <t>OU=Users,OU=KWEJP,OU=Japan</t>
  </si>
  <si>
    <t>OU=Users,OU=KWS,OU=Japan</t>
  </si>
  <si>
    <t>OU=Users,OU=KCI,OU=Japan</t>
  </si>
  <si>
    <t>OU=Users,OU=KLS,OU=Japan</t>
  </si>
  <si>
    <t>OU=Secure-24,OU=Users,OU=Users_And_Groups,OU=Secure-24</t>
  </si>
  <si>
    <t>OU=Azure WVD</t>
  </si>
  <si>
    <t>OU=KGIT Consultants</t>
  </si>
  <si>
    <t>OU=Synced,OU=KGIT Vendors</t>
  </si>
  <si>
    <t>OU=Service_Accounts,OU=Users,OU=Users_And_Groups,OU=Secure-24</t>
  </si>
  <si>
    <t>OU=Users,OU=KWEKR,OU=Korea</t>
  </si>
  <si>
    <t>OU=Users,OU=KWEMY,OU=Malaysia</t>
  </si>
  <si>
    <t>OU=Disabled Users,OU=MX,OU=KWEAM Users</t>
  </si>
  <si>
    <t>OU=MHQ,OU=MX,OU=KWEAM Users</t>
  </si>
  <si>
    <t>OU=GDL,OU=MX,OU=KWEAM Users</t>
  </si>
  <si>
    <t>OU=MEX,OU=MX,OU=KWEAM Users</t>
  </si>
  <si>
    <t>OU=AGS,OU=MX,OU=KWEAM Users</t>
  </si>
  <si>
    <t>OU=QRO,OU=MX,OU=KWEAM Users</t>
  </si>
  <si>
    <t>OU=IRP,OU=MX,OU=KWEAM Users</t>
  </si>
  <si>
    <t>OU=GTO,OU=MX,OU=KWEAM Users</t>
  </si>
  <si>
    <t>OU=MTY,OU=MX,OU=KWEAM Users</t>
  </si>
  <si>
    <t>OU=Intune_Test_MX,OU=MHQ,OU=MX,OU=KWEAM Users</t>
  </si>
  <si>
    <t>OU=Users,OU=KWEMM,OU=Myanmar</t>
  </si>
  <si>
    <t>KWEUAE</t>
  </si>
  <si>
    <t>OU=Users,OU=KWENL,OU=Netherlands</t>
  </si>
  <si>
    <t>Phillipines</t>
  </si>
  <si>
    <t>OU=Users,OU=KWEPH,OU=Phillipines</t>
  </si>
  <si>
    <t>KWEUS</t>
  </si>
  <si>
    <t>OU=Workstations,OU=KWEPH,OU=Phillipines</t>
  </si>
  <si>
    <t>OU=Users,OU=KWERO,OU=Romania</t>
  </si>
  <si>
    <t>OU=Users,OU=KWERU,OU=Russia</t>
  </si>
  <si>
    <t>OU=Users,OU=KWESG,OU=Singapore</t>
  </si>
  <si>
    <t>OU=Users,OU=KWESA,OU=Saudi Arabia</t>
  </si>
  <si>
    <t>OU=Active Users,OU=Users,OU=KWEZA,OU=South Africa</t>
  </si>
  <si>
    <t>OU=Archived Users,OU=Users,OU=KWEZA,OU=South Africa</t>
  </si>
  <si>
    <t>OU=Expatriate,OU=Users,OU=KWEZA,OU=South Africa</t>
  </si>
  <si>
    <t>OU=Domain Admins,OU=Users,OU=KWEZA,OU=South Africa</t>
  </si>
  <si>
    <t>OU=Shared Mailboxes,OU=Users,OU=KWEZA,OU=South Africa</t>
  </si>
  <si>
    <t>OU=Users,OU=KWEKR,OU=South Korea</t>
  </si>
  <si>
    <t>OU=Users,OU=KWELK,OU=Srilanka</t>
  </si>
  <si>
    <t>OU=Users,OU=KWESE,OU=Sweden</t>
  </si>
  <si>
    <t>OU=Users,OU=KWECH,OU=Switzerland</t>
  </si>
  <si>
    <t>OU=Users,OU=KWETW,OU=Taiwan</t>
  </si>
  <si>
    <t>OU=Users,OU=KWETH,OU=Thailand</t>
  </si>
  <si>
    <t>OU=Users,OU=KWEAE,OU=United Arab Emirates</t>
  </si>
  <si>
    <t>OU=Users,OU=KWEUK,OU=United Kingdom</t>
  </si>
  <si>
    <t>OU=Users,OU=KWEEHQ,OU=EHQ</t>
  </si>
  <si>
    <t>OU=Disabled Users,OU=US,OU=KWEAM Users</t>
  </si>
  <si>
    <t>OU=IMP,OU=JFK,OU=US,OU=KWEAM Users</t>
  </si>
  <si>
    <t>OU=PHL,OU=US,OU=KWEAM Users</t>
  </si>
  <si>
    <t>OU=EXP,OU=CHI,OU=US,OU=KWEAM Users</t>
  </si>
  <si>
    <t>OU=IMP,OU=CHI,OU=US,OU=KWEAM Users</t>
  </si>
  <si>
    <t>OU=Logistics,OU=DMZ,OU=US,OU=KWEAM Users</t>
  </si>
  <si>
    <t>OU=Perishable,OU=CHI,OU=US,OU=KWEAM Users</t>
  </si>
  <si>
    <t>OU=EXP,OU=LAX,OU=US,OU=KWEAM Users</t>
  </si>
  <si>
    <t>OU=EXP,OU=JFK,OU=US,OU=KWEAM Users</t>
  </si>
  <si>
    <t>OU=ELP,OU=US,OU=KWEAM Users</t>
  </si>
  <si>
    <t>OU=ACT,OU=UHQ,OU=US,OU=KWEAM Users</t>
  </si>
  <si>
    <t>OU=CVG,OU=US,OU=KWEAM Users</t>
  </si>
  <si>
    <t>OU=IT,OU=UHQ,OU=US,OU=KWEAM Users</t>
  </si>
  <si>
    <t>OU=OceanBranch,OU=DMZ,OU=US,OU=KWEAM Users</t>
  </si>
  <si>
    <t>OU=SEA,OU=US,OU=KWEAM Users</t>
  </si>
  <si>
    <t>OU=MIA,OU=US,OU=KWEAM Users</t>
  </si>
  <si>
    <t>OU=BDD,OU=DMZ,OU=US,OU=KWEAM Users</t>
  </si>
  <si>
    <t>OU=ATL,OU=US,OU=KWEAM Users</t>
  </si>
  <si>
    <t>OU=DTW,OU=US,OU=KWEAM Users</t>
  </si>
  <si>
    <t>OU=IAD,OU=US,OU=KWEAM Users</t>
  </si>
  <si>
    <t>OU=IMP,OU=LAX,OU=US,OU=KWEAM Users</t>
  </si>
  <si>
    <t>OU=KWE Admins</t>
  </si>
  <si>
    <t>OU=Service Accounts,OU=KWEAM Users</t>
  </si>
  <si>
    <t>CN=Users</t>
  </si>
  <si>
    <t>OU=DFW,OU=US,OU=KWEAM Users</t>
  </si>
  <si>
    <t>OU=SFO,OU=US,OU=KWEAM Users</t>
  </si>
  <si>
    <t>OU=ADM,OU=UHQ,OU=US,OU=KWEAM Users</t>
  </si>
  <si>
    <t>OU=SYR,OU=US,OU=KWEAM Users</t>
  </si>
  <si>
    <t>OU=CA,OU=KWEAM Users</t>
  </si>
  <si>
    <t>OU=CLE,OU=US,OU=KWEAM Users</t>
  </si>
  <si>
    <t>OU=LGL,OU=US,OU=KWEAM Users</t>
  </si>
  <si>
    <t>OU=EWR,OU=US,OU=KWEAM Users</t>
  </si>
  <si>
    <t>OU=SAN,OU=US,OU=KWEAM Users</t>
  </si>
  <si>
    <t>OU=PDX,OU=US,OU=KWEAM Users</t>
  </si>
  <si>
    <t>OU=BOS,OU=US,OU=KWEAM Users</t>
  </si>
  <si>
    <t>OU=IT,OU=LAX,OU=US,OU=KWEAM Users</t>
  </si>
  <si>
    <t>OU=OceanHQ,OU=DMZ,OU=US,OU=KWEAM Users</t>
  </si>
  <si>
    <t>OU=MSP,OU=US,OU=KWEAM Users</t>
  </si>
  <si>
    <t>OU=AUS,OU=US,OU=KWEAM Users</t>
  </si>
  <si>
    <t>OU=ACT,OU=LAX,OU=US,OU=KWEAM Users</t>
  </si>
  <si>
    <t>OU=ComplianceOU,OU=DMZ,OU=US,OU=KWEAM Users</t>
  </si>
  <si>
    <t>OU=KWE Service Accounts</t>
  </si>
  <si>
    <t>OU=SJU,OU=US,OU=KWEAM Users</t>
  </si>
  <si>
    <t>OU=DEN,OU=US,OU=KWEAM Users</t>
  </si>
  <si>
    <t>OU=CLT,OU=US,OU=KWEAM Users</t>
  </si>
  <si>
    <t>OU=HOU,OU=US,OU=KWEAM Users</t>
  </si>
  <si>
    <t>OU=PHX,OU=US,OU=KWEAM Users</t>
  </si>
  <si>
    <t>OU=JP,OU=KWEAM Users</t>
  </si>
  <si>
    <t>OU=TEST,OU=UHQ,OU=US,OU=KWEAM Users</t>
  </si>
  <si>
    <t>OU=CSM,OU=DMZ,OU=US,OU=KWEAM Users</t>
  </si>
  <si>
    <t>OU=SDF,OU=US,OU=KWEAM Users</t>
  </si>
  <si>
    <t>OU=KWEAM Users</t>
  </si>
  <si>
    <t>OU=Intune_Test_US,OU=UHQ,OU=US,OU=KWEAM Users</t>
  </si>
  <si>
    <t>OU=Test,OU=US,OU=KWEAM Users</t>
  </si>
  <si>
    <t>OU=Disabled Computers,OU=KWEAM Computers</t>
  </si>
  <si>
    <t>OU=Users,OU=KWEVN,OU=Vietnam</t>
  </si>
  <si>
    <t>OU=KWEVN_South,OU=Users,OU=KWEVN,OU=Vietnam</t>
  </si>
  <si>
    <t>OU=KWEVN_North,OU=Users,OU=KWEVN,OU=Vietnam</t>
  </si>
  <si>
    <t>Version</t>
    <phoneticPr fontId="6"/>
  </si>
  <si>
    <t>Revision Date</t>
    <phoneticPr fontId="6"/>
  </si>
  <si>
    <t>Revision Details</t>
    <phoneticPr fontId="6"/>
  </si>
  <si>
    <t>Revised by</t>
    <phoneticPr fontId="6"/>
  </si>
  <si>
    <t>Initial Version</t>
    <phoneticPr fontId="6"/>
  </si>
  <si>
    <t>KWECIT Hitoo Ban</t>
    <phoneticPr fontId="6"/>
  </si>
  <si>
    <t>1 request, 1 account, 1 sheet version</t>
    <phoneticPr fontId="6"/>
  </si>
  <si>
    <t>KWECIT Osamu Kashiwagi</t>
    <phoneticPr fontId="6"/>
  </si>
  <si>
    <t>Added Creation Pattern for Type of Request
Added SamAccountName</t>
  </si>
  <si>
    <t>NTT Masahiro Nakamura</t>
  </si>
  <si>
    <t>Updated terminology on some fields.
Added Cover tab fields to each tab and removed Cover tab.
Added separate tab for User Transfer &amp; Shared Mailbox.</t>
    <phoneticPr fontId="6"/>
  </si>
  <si>
    <t>KGIT Amit Desai</t>
  </si>
  <si>
    <t>Restore Cover tab  and remove Cover fields
Update on sone fields
Update Shared Mailbox tab</t>
    <phoneticPr fontId="6"/>
  </si>
  <si>
    <t>Added Cover tab fields to each tab and removed Cover tab.
Change tab to One file</t>
    <phoneticPr fontId="6"/>
  </si>
  <si>
    <t>Formatting changes</t>
  </si>
  <si>
    <t>v1.5</t>
  </si>
  <si>
    <t>Formatting changes. 
Added xref lookup lists.
Added 'Additional AD Properities' section.</t>
  </si>
  <si>
    <t>Updated xref tables</t>
  </si>
  <si>
    <t>Office location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</si>
</sst>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[$-409]mmmm\ d\,\ yyyy;@"/>
  </numFmts>
  <fonts count="2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4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theme="0" tint="-0.14993743705557422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theme="0" tint="-0.14993743705557422"/>
      </top>
      <bottom style="medium">
        <color rgb="FF00000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14993743705557422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medium">
        <color rgb="FF000000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indexed="64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indexed="64"/>
      </top>
      <bottom style="thin">
        <color indexed="64"/>
      </bottom>
      <diagonal/>
    </border>
    <border>
      <left style="thin">
        <color theme="0" tint="-0.14990691854609822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/>
  </cellStyleXfs>
  <cellXfs count="105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4" fillId="6" borderId="4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14" fillId="6" borderId="11" xfId="0" applyFont="1" applyFill="1" applyBorder="1">
      <alignment vertical="center"/>
    </xf>
    <xf numFmtId="0" fontId="14" fillId="6" borderId="13" xfId="0" applyFont="1" applyFill="1" applyBorder="1">
      <alignment vertical="center"/>
    </xf>
    <xf numFmtId="0" fontId="14" fillId="6" borderId="15" xfId="0" applyFont="1" applyFill="1" applyBorder="1">
      <alignment vertical="center"/>
    </xf>
    <xf numFmtId="0" fontId="14" fillId="6" borderId="16" xfId="0" applyFont="1" applyFill="1" applyBorder="1" applyAlignment="1">
      <alignment vertical="center" wrapText="1"/>
    </xf>
    <xf numFmtId="0" fontId="14" fillId="6" borderId="4" xfId="0" applyFont="1" applyFill="1" applyBorder="1">
      <alignment vertical="center"/>
    </xf>
    <xf numFmtId="0" fontId="14" fillId="6" borderId="2" xfId="0" applyFont="1" applyFill="1" applyBorder="1">
      <alignment vertical="center"/>
    </xf>
    <xf numFmtId="38" fontId="14" fillId="6" borderId="2" xfId="1" applyFont="1" applyFill="1" applyBorder="1" applyAlignment="1">
      <alignment vertical="center"/>
    </xf>
    <xf numFmtId="0" fontId="14" fillId="6" borderId="2" xfId="0" applyFont="1" applyFill="1" applyBorder="1" applyAlignment="1">
      <alignment vertical="center" shrinkToFit="1"/>
    </xf>
    <xf numFmtId="0" fontId="13" fillId="7" borderId="3" xfId="0" applyFont="1" applyFill="1" applyBorder="1">
      <alignment vertical="center"/>
    </xf>
    <xf numFmtId="38" fontId="14" fillId="6" borderId="13" xfId="1" applyFont="1" applyFill="1" applyBorder="1" applyAlignment="1">
      <alignment vertical="center"/>
    </xf>
    <xf numFmtId="0" fontId="14" fillId="4" borderId="21" xfId="0" applyFont="1" applyFill="1" applyBorder="1">
      <alignment vertical="center"/>
    </xf>
    <xf numFmtId="0" fontId="14" fillId="4" borderId="22" xfId="0" applyFont="1" applyFill="1" applyBorder="1">
      <alignment vertical="center"/>
    </xf>
    <xf numFmtId="0" fontId="15" fillId="0" borderId="19" xfId="0" applyFont="1" applyBorder="1" applyAlignment="1" applyProtection="1">
      <alignment horizontal="left" vertical="center"/>
      <protection locked="0"/>
    </xf>
    <xf numFmtId="0" fontId="15" fillId="0" borderId="20" xfId="0" applyFont="1" applyBorder="1" applyAlignment="1" applyProtection="1">
      <alignment horizontal="left" vertical="center"/>
      <protection locked="0"/>
    </xf>
    <xf numFmtId="0" fontId="15" fillId="0" borderId="19" xfId="2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left" vertical="center"/>
    </xf>
    <xf numFmtId="0" fontId="8" fillId="2" borderId="1" xfId="2" applyFill="1" applyBorder="1" applyAlignment="1">
      <alignment horizontal="left" vertical="center" wrapText="1"/>
    </xf>
    <xf numFmtId="0" fontId="16" fillId="6" borderId="2" xfId="0" applyFont="1" applyFill="1" applyBorder="1" applyAlignment="1">
      <alignment vertical="center" wrapText="1"/>
    </xf>
    <xf numFmtId="0" fontId="17" fillId="10" borderId="1" xfId="3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1" xfId="0" quotePrefix="1" applyFont="1" applyFill="1" applyBorder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5" fillId="0" borderId="27" xfId="0" applyFont="1" applyBorder="1" applyAlignment="1" applyProtection="1">
      <alignment horizontal="left" vertical="center"/>
      <protection locked="0"/>
    </xf>
    <xf numFmtId="0" fontId="14" fillId="6" borderId="28" xfId="0" applyFont="1" applyFill="1" applyBorder="1">
      <alignment vertical="center"/>
    </xf>
    <xf numFmtId="0" fontId="15" fillId="0" borderId="29" xfId="0" applyFont="1" applyBorder="1" applyAlignment="1" applyProtection="1">
      <alignment horizontal="left" vertical="center"/>
      <protection locked="0"/>
    </xf>
    <xf numFmtId="0" fontId="14" fillId="6" borderId="30" xfId="0" applyFont="1" applyFill="1" applyBorder="1">
      <alignment vertical="center"/>
    </xf>
    <xf numFmtId="0" fontId="14" fillId="6" borderId="31" xfId="0" applyFont="1" applyFill="1" applyBorder="1" applyAlignment="1">
      <alignment vertical="center" shrinkToFit="1"/>
    </xf>
    <xf numFmtId="0" fontId="13" fillId="0" borderId="0" xfId="0" applyFont="1">
      <alignment vertical="center"/>
    </xf>
    <xf numFmtId="0" fontId="18" fillId="0" borderId="0" xfId="0" applyFont="1" applyAlignment="1" applyProtection="1">
      <alignment horizontal="left" vertical="center"/>
      <protection locked="0"/>
    </xf>
    <xf numFmtId="0" fontId="14" fillId="6" borderId="34" xfId="0" applyFont="1" applyFill="1" applyBorder="1">
      <alignment vertical="center"/>
    </xf>
    <xf numFmtId="0" fontId="14" fillId="6" borderId="4" xfId="0" applyFont="1" applyFill="1" applyBorder="1" applyAlignment="1">
      <alignment vertical="center" shrinkToFit="1"/>
    </xf>
    <xf numFmtId="0" fontId="15" fillId="5" borderId="35" xfId="0" applyFont="1" applyFill="1" applyBorder="1" applyAlignment="1" applyProtection="1">
      <alignment horizontal="left" vertical="center"/>
      <protection locked="0"/>
    </xf>
    <xf numFmtId="0" fontId="14" fillId="6" borderId="24" xfId="0" applyFont="1" applyFill="1" applyBorder="1">
      <alignment vertical="center"/>
    </xf>
    <xf numFmtId="0" fontId="14" fillId="6" borderId="25" xfId="0" applyFont="1" applyFill="1" applyBorder="1" applyAlignment="1">
      <alignment vertical="center" wrapText="1"/>
    </xf>
    <xf numFmtId="0" fontId="14" fillId="4" borderId="23" xfId="0" applyFont="1" applyFill="1" applyBorder="1">
      <alignment vertical="center"/>
    </xf>
    <xf numFmtId="0" fontId="14" fillId="4" borderId="39" xfId="0" applyFont="1" applyFill="1" applyBorder="1">
      <alignment vertical="center"/>
    </xf>
    <xf numFmtId="0" fontId="14" fillId="4" borderId="40" xfId="0" applyFont="1" applyFill="1" applyBorder="1" applyAlignment="1">
      <alignment horizontal="left" vertical="center"/>
    </xf>
    <xf numFmtId="0" fontId="14" fillId="4" borderId="41" xfId="0" applyFont="1" applyFill="1" applyBorder="1" applyAlignment="1">
      <alignment horizontal="left" vertical="center"/>
    </xf>
    <xf numFmtId="0" fontId="13" fillId="7" borderId="28" xfId="0" applyFont="1" applyFill="1" applyBorder="1" applyAlignment="1">
      <alignment vertical="center" wrapText="1"/>
    </xf>
    <xf numFmtId="0" fontId="13" fillId="7" borderId="30" xfId="0" applyFont="1" applyFill="1" applyBorder="1" applyAlignment="1">
      <alignment vertical="center" wrapText="1"/>
    </xf>
    <xf numFmtId="0" fontId="13" fillId="7" borderId="42" xfId="0" applyFont="1" applyFill="1" applyBorder="1">
      <alignment vertical="center"/>
    </xf>
    <xf numFmtId="0" fontId="8" fillId="2" borderId="1" xfId="2" applyFill="1" applyBorder="1" applyAlignment="1">
      <alignment horizontal="left" vertical="center"/>
    </xf>
    <xf numFmtId="0" fontId="15" fillId="0" borderId="33" xfId="0" applyFont="1" applyBorder="1" applyAlignment="1" applyProtection="1">
      <alignment horizontal="left" vertical="center"/>
      <protection locked="0"/>
    </xf>
    <xf numFmtId="0" fontId="2" fillId="0" borderId="0" xfId="3" applyFont="1"/>
    <xf numFmtId="0" fontId="2" fillId="0" borderId="0" xfId="3" applyFont="1" applyAlignment="1">
      <alignment horizontal="left"/>
    </xf>
    <xf numFmtId="0" fontId="19" fillId="0" borderId="1" xfId="0" applyFont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8" fillId="0" borderId="0" xfId="2">
      <alignment vertical="center"/>
    </xf>
    <xf numFmtId="0" fontId="17" fillId="9" borderId="1" xfId="3" applyFont="1" applyFill="1" applyBorder="1"/>
    <xf numFmtId="0" fontId="17" fillId="9" borderId="1" xfId="3" applyFont="1" applyFill="1" applyBorder="1" applyAlignment="1">
      <alignment horizontal="left"/>
    </xf>
    <xf numFmtId="0" fontId="14" fillId="4" borderId="43" xfId="0" applyFont="1" applyFill="1" applyBorder="1">
      <alignment vertical="center"/>
    </xf>
    <xf numFmtId="0" fontId="14" fillId="4" borderId="44" xfId="0" applyFont="1" applyFill="1" applyBorder="1">
      <alignment vertical="center"/>
    </xf>
    <xf numFmtId="0" fontId="14" fillId="4" borderId="45" xfId="0" applyFont="1" applyFill="1" applyBorder="1" applyAlignment="1">
      <alignment horizontal="left" vertical="center"/>
    </xf>
    <xf numFmtId="0" fontId="14" fillId="4" borderId="46" xfId="0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9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20" fillId="3" borderId="1" xfId="0" applyFont="1" applyFill="1" applyBorder="1">
      <alignment vertical="center"/>
    </xf>
    <xf numFmtId="165" fontId="20" fillId="3" borderId="1" xfId="0" applyNumberFormat="1" applyFont="1" applyFill="1" applyBorder="1">
      <alignment vertical="center"/>
    </xf>
    <xf numFmtId="0" fontId="15" fillId="11" borderId="29" xfId="0" applyFont="1" applyFill="1" applyBorder="1" applyAlignment="1">
      <alignment horizontal="left" vertical="center"/>
    </xf>
    <xf numFmtId="0" fontId="18" fillId="11" borderId="29" xfId="0" applyFont="1" applyFill="1" applyBorder="1" applyAlignment="1">
      <alignment horizontal="left" vertical="center"/>
    </xf>
    <xf numFmtId="0" fontId="18" fillId="11" borderId="33" xfId="0" applyFont="1" applyFill="1" applyBorder="1" applyAlignment="1">
      <alignment horizontal="left" vertical="center"/>
    </xf>
    <xf numFmtId="0" fontId="8" fillId="0" borderId="19" xfId="2" applyBorder="1" applyAlignment="1" applyProtection="1">
      <alignment horizontal="left" vertical="center" wrapText="1"/>
      <protection locked="0"/>
    </xf>
    <xf numFmtId="0" fontId="1" fillId="0" borderId="1" xfId="3" applyFont="1" applyBorder="1"/>
    <xf numFmtId="49" fontId="4" fillId="2" borderId="1" xfId="0" applyNumberFormat="1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3" applyFont="1"/>
    <xf numFmtId="0" fontId="1" fillId="0" borderId="1" xfId="0" applyFont="1" applyBorder="1" applyAlignment="1">
      <alignment horizontal="left" vertical="center"/>
    </xf>
    <xf numFmtId="0" fontId="1" fillId="0" borderId="1" xfId="3" applyFont="1" applyBorder="1" applyAlignment="1">
      <alignment horizontal="left"/>
    </xf>
    <xf numFmtId="14" fontId="1" fillId="0" borderId="0" xfId="3" applyNumberFormat="1" applyFont="1"/>
    <xf numFmtId="0" fontId="1" fillId="0" borderId="0" xfId="3" applyFont="1" applyAlignment="1">
      <alignment horizontal="left"/>
    </xf>
    <xf numFmtId="164" fontId="4" fillId="0" borderId="1" xfId="0" quotePrefix="1" applyNumberFormat="1" applyFont="1" applyBorder="1" applyAlignment="1">
      <alignment horizontal="left" vertical="center"/>
    </xf>
    <xf numFmtId="165" fontId="4" fillId="0" borderId="1" xfId="0" applyNumberFormat="1" applyFont="1" applyBorder="1">
      <alignment vertical="center"/>
    </xf>
    <xf numFmtId="0" fontId="4" fillId="2" borderId="7" xfId="0" applyFont="1" applyFill="1" applyBorder="1" applyAlignment="1">
      <alignment horizontal="left" vertical="center"/>
    </xf>
    <xf numFmtId="0" fontId="12" fillId="8" borderId="36" xfId="0" applyFont="1" applyFill="1" applyBorder="1" applyAlignment="1">
      <alignment horizontal="left" vertical="center"/>
    </xf>
    <xf numFmtId="0" fontId="12" fillId="8" borderId="37" xfId="0" applyFont="1" applyFill="1" applyBorder="1" applyAlignment="1">
      <alignment horizontal="left" vertical="center"/>
    </xf>
    <xf numFmtId="0" fontId="12" fillId="8" borderId="38" xfId="0" applyFont="1" applyFill="1" applyBorder="1" applyAlignment="1">
      <alignment horizontal="left" vertical="center"/>
    </xf>
    <xf numFmtId="0" fontId="12" fillId="8" borderId="8" xfId="0" applyFont="1" applyFill="1" applyBorder="1" applyAlignment="1">
      <alignment horizontal="left" vertical="center"/>
    </xf>
    <xf numFmtId="0" fontId="12" fillId="8" borderId="9" xfId="0" applyFont="1" applyFill="1" applyBorder="1" applyAlignment="1">
      <alignment horizontal="left" vertical="center"/>
    </xf>
    <xf numFmtId="0" fontId="12" fillId="8" borderId="10" xfId="0" applyFont="1" applyFill="1" applyBorder="1" applyAlignment="1">
      <alignment horizontal="left" vertical="center"/>
    </xf>
    <xf numFmtId="0" fontId="15" fillId="0" borderId="6" xfId="0" applyFont="1" applyBorder="1" applyAlignment="1" applyProtection="1">
      <alignment horizontal="left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165" fontId="15" fillId="0" borderId="7" xfId="0" applyNumberFormat="1" applyFont="1" applyBorder="1" applyAlignment="1" applyProtection="1">
      <alignment horizontal="left" vertical="center"/>
      <protection locked="0"/>
    </xf>
    <xf numFmtId="165" fontId="15" fillId="0" borderId="14" xfId="0" applyNumberFormat="1" applyFont="1" applyBorder="1" applyAlignment="1" applyProtection="1">
      <alignment horizontal="left" vertical="center"/>
      <protection locked="0"/>
    </xf>
    <xf numFmtId="0" fontId="15" fillId="0" borderId="7" xfId="0" applyFont="1" applyBorder="1" applyAlignment="1" applyProtection="1">
      <alignment horizontal="left" vertical="center"/>
      <protection locked="0"/>
    </xf>
    <xf numFmtId="0" fontId="15" fillId="0" borderId="14" xfId="0" applyFont="1" applyBorder="1" applyAlignment="1" applyProtection="1">
      <alignment horizontal="left" vertical="center"/>
      <protection locked="0"/>
    </xf>
    <xf numFmtId="0" fontId="15" fillId="0" borderId="17" xfId="0" applyFont="1" applyBorder="1" applyAlignment="1" applyProtection="1">
      <alignment horizontal="left" vertical="center"/>
      <protection locked="0"/>
    </xf>
    <xf numFmtId="0" fontId="15" fillId="0" borderId="18" xfId="0" applyFont="1" applyBorder="1" applyAlignment="1" applyProtection="1">
      <alignment horizontal="left" vertical="center"/>
      <protection locked="0"/>
    </xf>
    <xf numFmtId="0" fontId="14" fillId="4" borderId="9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</cellXfs>
  <cellStyles count="4">
    <cellStyle name="Comma [0]" xfId="1" builtinId="6"/>
    <cellStyle name="Hyperlink" xfId="2" builtinId="8"/>
    <cellStyle name="Normal" xfId="0" builtinId="0"/>
    <cellStyle name="Normal 2" xfId="3" xr:uid="{00000000-0005-0000-0000-000000000000}"/>
  </cellStyles>
  <dxfs count="12"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e.manager@kwe.com" TargetMode="External"/><Relationship Id="rId1" Type="http://schemas.openxmlformats.org/officeDocument/2006/relationships/hyperlink" Target="mailto:userfirst.userlast@ao.kw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47"/>
  <sheetViews>
    <sheetView showGridLines="0" tabSelected="1" zoomScaleNormal="100" workbookViewId="0">
      <selection activeCell="D19" sqref="D19"/>
    </sheetView>
  </sheetViews>
  <sheetFormatPr defaultColWidth="8.54296875" defaultRowHeight="14.5"/>
  <cols>
    <col min="1" max="1" width="39.1796875" style="1" customWidth="1"/>
    <col min="2" max="2" width="33.26953125" style="1" bestFit="1" customWidth="1"/>
    <col min="3" max="3" width="31" style="5" bestFit="1" customWidth="1"/>
    <col min="4" max="4" width="64.1796875" style="5" customWidth="1"/>
    <col min="5" max="5" width="13.453125" style="1" bestFit="1" customWidth="1"/>
    <col min="6" max="6" width="28.26953125" style="1" bestFit="1" customWidth="1"/>
    <col min="7" max="7" width="25.453125" style="1" customWidth="1"/>
    <col min="8" max="8" width="24.54296875" style="1" hidden="1" customWidth="1"/>
    <col min="9" max="9" width="17.54296875" style="1" hidden="1" customWidth="1"/>
    <col min="10" max="10" width="16.1796875" style="1" hidden="1" customWidth="1"/>
    <col min="11" max="11" width="19.81640625" style="1" customWidth="1"/>
    <col min="12" max="12" width="15.1796875" style="1" customWidth="1"/>
    <col min="13" max="13" width="23.453125" style="1" bestFit="1" customWidth="1"/>
    <col min="14" max="14" width="23.453125" style="1" hidden="1" customWidth="1"/>
    <col min="15" max="15" width="26.26953125" style="1" hidden="1" customWidth="1"/>
    <col min="16" max="16" width="26.26953125" style="1" customWidth="1"/>
    <col min="17" max="17" width="29.453125" style="1" hidden="1" customWidth="1"/>
    <col min="18" max="18" width="18.54296875" style="1" customWidth="1"/>
    <col min="19" max="19" width="30.54296875" style="1" customWidth="1"/>
    <col min="20" max="20" width="25.453125" style="1" customWidth="1"/>
    <col min="21" max="21" width="14" style="1" hidden="1" customWidth="1"/>
    <col min="22" max="22" width="21.453125" style="1" hidden="1" customWidth="1"/>
    <col min="23" max="23" width="17.26953125" style="1" hidden="1" customWidth="1"/>
    <col min="24" max="24" width="18.26953125" style="1" hidden="1" customWidth="1"/>
    <col min="25" max="16384" width="8.54296875" style="1"/>
  </cols>
  <sheetData>
    <row r="1" spans="1:24" ht="19" thickBot="1">
      <c r="A1" s="92" t="s">
        <v>0</v>
      </c>
      <c r="B1" s="93"/>
      <c r="C1" s="93"/>
      <c r="D1" s="94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</row>
    <row r="2" spans="1:24" s="6" customFormat="1">
      <c r="A2" s="19" t="s">
        <v>1</v>
      </c>
      <c r="B2" s="20" t="s">
        <v>2</v>
      </c>
      <c r="C2" s="103" t="s">
        <v>3</v>
      </c>
      <c r="D2" s="104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s="6" customFormat="1" ht="18.5">
      <c r="A3" s="9" t="s">
        <v>4</v>
      </c>
      <c r="B3" s="7" t="s">
        <v>5</v>
      </c>
      <c r="C3" s="95"/>
      <c r="D3" s="9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s="6" customFormat="1" ht="18.5">
      <c r="A4" s="10" t="s">
        <v>6</v>
      </c>
      <c r="B4" s="8"/>
      <c r="C4" s="97"/>
      <c r="D4" s="98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s="6" customFormat="1" ht="18.5">
      <c r="A5" s="10" t="s">
        <v>7</v>
      </c>
      <c r="B5" s="8" t="s">
        <v>8</v>
      </c>
      <c r="C5" s="99"/>
      <c r="D5" s="100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s="6" customFormat="1" ht="18.5">
      <c r="A6" s="10" t="s">
        <v>9</v>
      </c>
      <c r="B6" s="8"/>
      <c r="C6" s="97"/>
      <c r="D6" s="98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s="6" customFormat="1" ht="19" thickBot="1">
      <c r="A7" s="11" t="s">
        <v>10</v>
      </c>
      <c r="B7" s="12"/>
      <c r="C7" s="101"/>
      <c r="D7" s="102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19" thickBot="1">
      <c r="A8" s="89" t="s">
        <v>11</v>
      </c>
      <c r="B8" s="90"/>
      <c r="C8" s="90"/>
      <c r="D8" s="91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</row>
    <row r="9" spans="1:24">
      <c r="A9" s="43" t="s">
        <v>12</v>
      </c>
      <c r="B9" s="44" t="s">
        <v>13</v>
      </c>
      <c r="C9" s="45" t="s">
        <v>14</v>
      </c>
      <c r="D9" s="46" t="s">
        <v>3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s="6" customFormat="1" ht="18.5">
      <c r="A10" s="10" t="s">
        <v>15</v>
      </c>
      <c r="B10" s="8" t="s">
        <v>16</v>
      </c>
      <c r="C10" s="28" t="s">
        <v>17</v>
      </c>
      <c r="D10" s="21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18.5">
      <c r="A11" s="9" t="s">
        <v>18</v>
      </c>
      <c r="B11" s="13"/>
      <c r="C11" s="28" t="s">
        <v>19</v>
      </c>
      <c r="D11" s="22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18.5">
      <c r="A12" s="10" t="s">
        <v>20</v>
      </c>
      <c r="B12" s="14"/>
      <c r="C12" s="24" t="s">
        <v>21</v>
      </c>
      <c r="D12" s="21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18.5">
      <c r="A13" s="10" t="s">
        <v>22</v>
      </c>
      <c r="B13" s="14"/>
      <c r="C13" s="29" t="s">
        <v>23</v>
      </c>
      <c r="D13" s="21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18.5">
      <c r="A14" s="18" t="s">
        <v>24</v>
      </c>
      <c r="B14" s="15" t="s">
        <v>25</v>
      </c>
      <c r="C14" s="24" t="s">
        <v>26</v>
      </c>
      <c r="D14" s="22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18.5">
      <c r="A15" s="10" t="s">
        <v>27</v>
      </c>
      <c r="B15" s="15" t="s">
        <v>28</v>
      </c>
      <c r="C15" s="24" t="s">
        <v>29</v>
      </c>
      <c r="D15" s="21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</row>
    <row r="16" spans="1:24" ht="43.5">
      <c r="A16" s="10" t="s">
        <v>30</v>
      </c>
      <c r="B16" s="26"/>
      <c r="C16" s="25" t="s">
        <v>31</v>
      </c>
      <c r="D16" s="73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</row>
    <row r="17" spans="1:24" ht="18.5">
      <c r="A17" s="10" t="s">
        <v>32</v>
      </c>
      <c r="B17" s="14"/>
      <c r="C17" s="50" t="s">
        <v>33</v>
      </c>
      <c r="D17" s="23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</row>
    <row r="18" spans="1:24" ht="18.5">
      <c r="A18" s="10" t="s">
        <v>34</v>
      </c>
      <c r="B18" s="8"/>
      <c r="C18" s="75" t="s">
        <v>35</v>
      </c>
      <c r="D18" s="21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</row>
    <row r="19" spans="1:24" ht="18.5">
      <c r="A19" s="10" t="s">
        <v>36</v>
      </c>
      <c r="B19" s="16"/>
      <c r="C19" s="24"/>
      <c r="D19" s="21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</row>
    <row r="20" spans="1:24" ht="18.5">
      <c r="A20" s="10" t="s">
        <v>37</v>
      </c>
      <c r="B20" s="8"/>
      <c r="C20" s="24" t="s">
        <v>38</v>
      </c>
      <c r="D20" s="21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</row>
    <row r="21" spans="1:24" ht="18.5">
      <c r="A21" s="10" t="s">
        <v>40</v>
      </c>
      <c r="B21" s="14"/>
      <c r="C21" s="24" t="s">
        <v>41</v>
      </c>
      <c r="D21" s="21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</row>
    <row r="22" spans="1:24" ht="18.5">
      <c r="A22" s="10" t="s">
        <v>43</v>
      </c>
      <c r="B22" s="8" t="s">
        <v>44</v>
      </c>
      <c r="C22" s="24" t="s">
        <v>45</v>
      </c>
      <c r="D22" s="31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</row>
    <row r="23" spans="1:24" ht="18.5">
      <c r="A23" s="10" t="s">
        <v>462</v>
      </c>
      <c r="B23" s="8" t="s">
        <v>46</v>
      </c>
      <c r="C23" s="88"/>
      <c r="D23" s="21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</row>
    <row r="24" spans="1:24" ht="18.5">
      <c r="A24" s="41" t="s">
        <v>47</v>
      </c>
      <c r="B24" s="42"/>
      <c r="C24" s="76"/>
      <c r="D24" s="22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</row>
    <row r="25" spans="1:24" ht="19" thickBot="1">
      <c r="A25" s="10" t="s">
        <v>48</v>
      </c>
      <c r="B25" s="8" t="s">
        <v>49</v>
      </c>
      <c r="C25" s="24"/>
      <c r="D25" s="21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</row>
    <row r="26" spans="1:24" ht="19" thickBot="1">
      <c r="A26" s="89" t="s">
        <v>50</v>
      </c>
      <c r="B26" s="90"/>
      <c r="C26" s="90"/>
      <c r="D26" s="91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</row>
    <row r="27" spans="1:24">
      <c r="A27" s="43" t="s">
        <v>12</v>
      </c>
      <c r="B27" s="44" t="s">
        <v>13</v>
      </c>
      <c r="C27" s="45" t="s">
        <v>14</v>
      </c>
      <c r="D27" s="46" t="s">
        <v>3</v>
      </c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</row>
    <row r="28" spans="1:24" ht="58">
      <c r="A28" s="38" t="s">
        <v>51</v>
      </c>
      <c r="B28" s="39" t="s">
        <v>52</v>
      </c>
      <c r="C28" s="77" t="s">
        <v>53</v>
      </c>
      <c r="D28" s="22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spans="1:24" ht="58.5" thickBot="1">
      <c r="A29" s="38" t="s">
        <v>54</v>
      </c>
      <c r="B29" s="39" t="s">
        <v>52</v>
      </c>
      <c r="C29" s="78" t="s">
        <v>55</v>
      </c>
      <c r="D29" s="31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spans="1:24" ht="19" thickBot="1">
      <c r="A30" s="89" t="s">
        <v>56</v>
      </c>
      <c r="B30" s="90"/>
      <c r="C30" s="90"/>
      <c r="D30" s="91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spans="1:24">
      <c r="A31" s="43" t="s">
        <v>12</v>
      </c>
      <c r="B31" s="44" t="s">
        <v>13</v>
      </c>
      <c r="C31" s="45" t="s">
        <v>14</v>
      </c>
      <c r="D31" s="46" t="s">
        <v>3</v>
      </c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</row>
    <row r="32" spans="1:24" ht="18.5">
      <c r="A32" s="38" t="s">
        <v>57</v>
      </c>
      <c r="B32" s="39"/>
      <c r="C32" s="28"/>
      <c r="D32" s="40" t="s">
        <v>86</v>
      </c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3" spans="1:24" ht="18.5">
      <c r="A33" s="32" t="s">
        <v>59</v>
      </c>
      <c r="B33" s="16" t="s">
        <v>60</v>
      </c>
      <c r="C33" s="24" t="s">
        <v>61</v>
      </c>
      <c r="D33" s="33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</row>
    <row r="34" spans="1:24" ht="19" thickBot="1">
      <c r="A34" s="34" t="s">
        <v>62</v>
      </c>
      <c r="B34" s="35"/>
      <c r="C34" s="79"/>
      <c r="D34" s="51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spans="1:24">
      <c r="A35" s="36"/>
      <c r="B35" s="30"/>
      <c r="C35" s="80"/>
      <c r="D35" s="37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  <row r="36" spans="1:24" ht="15" thickBot="1">
      <c r="A36" s="36"/>
      <c r="B36" s="30"/>
      <c r="C36" s="80"/>
      <c r="D36" s="37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spans="1:24" ht="19" thickBot="1">
      <c r="A37" s="89" t="s">
        <v>63</v>
      </c>
      <c r="B37" s="90"/>
      <c r="C37" s="90"/>
      <c r="D37" s="91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</row>
    <row r="38" spans="1:24">
      <c r="A38" s="60" t="s">
        <v>12</v>
      </c>
      <c r="B38" s="61" t="s">
        <v>64</v>
      </c>
      <c r="C38" s="62" t="s">
        <v>14</v>
      </c>
      <c r="D38" s="63" t="s">
        <v>3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</row>
    <row r="39" spans="1:24" ht="18.5">
      <c r="A39" s="47" t="s">
        <v>65</v>
      </c>
      <c r="B39" s="17"/>
      <c r="C39" s="24" t="s">
        <v>66</v>
      </c>
      <c r="D39" s="70" t="e">
        <f>VLOOKUP(D21,xref!H:J,3,FALSE)</f>
        <v>#N/A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</row>
    <row r="40" spans="1:24">
      <c r="A40" s="47" t="s">
        <v>67</v>
      </c>
      <c r="B40" s="17"/>
      <c r="C40" s="24" t="s">
        <v>68</v>
      </c>
      <c r="D40" s="71" t="e">
        <f>VLOOKUP(D21,xref!N:O,2,FALSE)</f>
        <v>#N/A</v>
      </c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</row>
    <row r="41" spans="1:24">
      <c r="A41" s="47" t="s">
        <v>69</v>
      </c>
      <c r="B41" s="17" t="s">
        <v>70</v>
      </c>
      <c r="C41" s="24"/>
      <c r="D41" s="71">
        <f>D15</f>
        <v>0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</row>
    <row r="42" spans="1:24">
      <c r="A42" s="47" t="s">
        <v>71</v>
      </c>
      <c r="B42" s="17" t="s">
        <v>70</v>
      </c>
      <c r="C42" s="24"/>
      <c r="D42" s="71" t="e">
        <f>LEFT(D15,FIND("@",D15)-1)</f>
        <v>#VALUE!</v>
      </c>
      <c r="E42" s="56"/>
      <c r="F42" s="57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</row>
    <row r="43" spans="1:24">
      <c r="A43" s="47" t="s">
        <v>72</v>
      </c>
      <c r="B43" s="17" t="s">
        <v>73</v>
      </c>
      <c r="C43" s="24"/>
      <c r="D43" s="71">
        <f>D16</f>
        <v>0</v>
      </c>
      <c r="E43" s="56"/>
      <c r="F43" s="57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</row>
    <row r="44" spans="1:24" ht="15" thickBot="1">
      <c r="A44" s="48" t="s">
        <v>64</v>
      </c>
      <c r="B44" s="49" t="s">
        <v>74</v>
      </c>
      <c r="C44" s="79"/>
      <c r="D44" s="72">
        <f>D21</f>
        <v>0</v>
      </c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</row>
    <row r="45" spans="1:24" ht="18.5">
      <c r="A45" s="2"/>
      <c r="B45" s="3"/>
      <c r="C45" s="80"/>
      <c r="D45" s="4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</row>
    <row r="46" spans="1:24">
      <c r="A46" s="56"/>
      <c r="B46" s="56"/>
      <c r="C46" s="80"/>
      <c r="D46" s="80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</row>
    <row r="47" spans="1:24">
      <c r="A47" s="56"/>
      <c r="B47" s="56"/>
      <c r="C47" s="80"/>
      <c r="D47" s="80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</row>
  </sheetData>
  <sheetProtection sheet="1" formatCells="0" selectLockedCells="1"/>
  <mergeCells count="11">
    <mergeCell ref="A26:D26"/>
    <mergeCell ref="A37:D37"/>
    <mergeCell ref="A1:D1"/>
    <mergeCell ref="C3:D3"/>
    <mergeCell ref="C4:D4"/>
    <mergeCell ref="C5:D5"/>
    <mergeCell ref="C6:D6"/>
    <mergeCell ref="C7:D7"/>
    <mergeCell ref="C2:D2"/>
    <mergeCell ref="A30:D30"/>
    <mergeCell ref="A8:D8"/>
  </mergeCells>
  <phoneticPr fontId="6"/>
  <conditionalFormatting sqref="D11 D13:D15 D20:D22">
    <cfRule type="expression" dxfId="11" priority="1">
      <formula>$D$10="CREATE User"</formula>
    </cfRule>
  </conditionalFormatting>
  <conditionalFormatting sqref="D11:D25 D28:D29 D39:D40">
    <cfRule type="expression" dxfId="10" priority="32">
      <formula>#REF!=1</formula>
    </cfRule>
  </conditionalFormatting>
  <conditionalFormatting sqref="D14:D17">
    <cfRule type="expression" dxfId="9" priority="26">
      <formula>#REF!=7</formula>
    </cfRule>
  </conditionalFormatting>
  <conditionalFormatting sqref="D14:D25 D39:D40">
    <cfRule type="expression" dxfId="8" priority="25">
      <formula>#REF!=8</formula>
    </cfRule>
  </conditionalFormatting>
  <conditionalFormatting sqref="D32">
    <cfRule type="expression" dxfId="7" priority="3">
      <formula>#REF!="JPN Region"</formula>
    </cfRule>
  </conditionalFormatting>
  <conditionalFormatting sqref="D33:D36 D11:D25 D28:D29 D39:D44">
    <cfRule type="expression" dxfId="6" priority="27">
      <formula>#REF!=6</formula>
    </cfRule>
    <cfRule type="expression" dxfId="5" priority="28">
      <formula>#REF!=5</formula>
    </cfRule>
    <cfRule type="expression" dxfId="4" priority="29">
      <formula>#REF!=4</formula>
    </cfRule>
    <cfRule type="expression" dxfId="3" priority="30">
      <formula>#REF!=3</formula>
    </cfRule>
    <cfRule type="expression" dxfId="2" priority="31">
      <formula>#REF!=2</formula>
    </cfRule>
  </conditionalFormatting>
  <conditionalFormatting sqref="D34">
    <cfRule type="cellIs" dxfId="1" priority="2" operator="equal">
      <formula>"Yes"</formula>
    </cfRule>
  </conditionalFormatting>
  <conditionalFormatting sqref="D34:D36 D39:D45">
    <cfRule type="expression" dxfId="0" priority="24">
      <formula>#REF!="JPN Region"</formula>
    </cfRule>
  </conditionalFormatting>
  <dataValidations count="2">
    <dataValidation type="list" allowBlank="1" showInputMessage="1" showErrorMessage="1" sqref="D45 D35:D36" xr:uid="{00000000-0002-0000-0000-000000000000}">
      <formula1>"Yes,-"</formula1>
    </dataValidation>
    <dataValidation type="list" allowBlank="1" showInputMessage="1" showErrorMessage="1" sqref="D34" xr:uid="{00000000-0002-0000-0000-000001000000}">
      <formula1>"&lt; Please Select &gt;, Yes, No"</formula1>
    </dataValidation>
  </dataValidations>
  <hyperlinks>
    <hyperlink ref="C16" r:id="rId1" display="userfirst.userlast@ao.kwe.com " xr:uid="{00000000-0004-0000-0000-000000000000}"/>
    <hyperlink ref="C17" r:id="rId2" xr:uid="{00000000-0004-0000-0000-000001000000}"/>
  </hyperlinks>
  <pageMargins left="0.7" right="0.7" top="0.75" bottom="0.75" header="0.3" footer="0.3"/>
  <pageSetup paperSize="9" scale="37" orientation="landscape"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xref!$C$2:$C$3</xm:f>
          </x14:formula1>
          <xm:sqref>D32</xm:sqref>
        </x14:dataValidation>
        <x14:dataValidation type="list" allowBlank="1" showInputMessage="1" showErrorMessage="1" xr:uid="{00000000-0002-0000-0000-000003000000}">
          <x14:formula1>
            <xm:f>xref!$L$2:$L$71</xm:f>
          </x14:formula1>
          <xm:sqref>D22</xm:sqref>
        </x14:dataValidation>
        <x14:dataValidation type="list" allowBlank="1" showInputMessage="1" showErrorMessage="1" xr:uid="{00000000-0002-0000-0000-000004000000}">
          <x14:formula1>
            <xm:f>xref!$A$2:$A$6</xm:f>
          </x14:formula1>
          <xm:sqref>D10</xm:sqref>
        </x14:dataValidation>
        <x14:dataValidation type="list" allowBlank="1" showInputMessage="1" showErrorMessage="1" xr:uid="{00000000-0002-0000-0000-000005000000}">
          <x14:formula1>
            <xm:f>xref!$E$2:$E$8</xm:f>
          </x14:formula1>
          <xm:sqref>D20</xm:sqref>
        </x14:dataValidation>
        <x14:dataValidation type="list" allowBlank="1" showInputMessage="1" showErrorMessage="1" xr:uid="{00000000-0002-0000-0000-000006000000}">
          <x14:formula1>
            <xm:f>xref!$H$2:$H$41</xm:f>
          </x14:formula1>
          <xm:sqref>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145"/>
  <sheetViews>
    <sheetView showGridLines="0" zoomScale="80" zoomScaleNormal="80" workbookViewId="0">
      <pane ySplit="1" topLeftCell="A2" activePane="bottomLeft" state="frozen"/>
      <selection activeCell="B1" sqref="B1"/>
      <selection pane="bottomLeft" activeCell="B1" sqref="B1"/>
    </sheetView>
  </sheetViews>
  <sheetFormatPr defaultColWidth="9.1796875" defaultRowHeight="14.5"/>
  <cols>
    <col min="1" max="1" width="17.7265625" style="52" bestFit="1" customWidth="1"/>
    <col min="2" max="2" width="9.1796875" style="52"/>
    <col min="3" max="3" width="17.453125" style="52" bestFit="1" customWidth="1"/>
    <col min="4" max="4" width="9.1796875" style="52"/>
    <col min="5" max="5" width="17.7265625" style="52" bestFit="1" customWidth="1"/>
    <col min="6" max="6" width="25.26953125" style="52" bestFit="1" customWidth="1"/>
    <col min="7" max="7" width="9.1796875" style="52"/>
    <col min="8" max="8" width="25.81640625" style="52" bestFit="1" customWidth="1"/>
    <col min="9" max="10" width="25.81640625" style="52" customWidth="1"/>
    <col min="11" max="11" width="9.1796875" style="52"/>
    <col min="12" max="12" width="59.26953125" style="52" bestFit="1" customWidth="1"/>
    <col min="13" max="13" width="9.1796875" style="52"/>
    <col min="14" max="14" width="25.81640625" bestFit="1" customWidth="1"/>
    <col min="15" max="15" width="70.54296875" bestFit="1" customWidth="1"/>
    <col min="16" max="16" width="9.1796875" style="52"/>
    <col min="17" max="17" width="25.81640625" style="52" bestFit="1" customWidth="1"/>
    <col min="18" max="18" width="7.26953125" style="52" bestFit="1" customWidth="1"/>
    <col min="19" max="19" width="8.81640625" style="53" bestFit="1" customWidth="1"/>
    <col min="20" max="20" width="12.7265625" style="53" bestFit="1" customWidth="1"/>
    <col min="21" max="21" width="64.54296875" style="52" bestFit="1" customWidth="1"/>
    <col min="22" max="16384" width="9.1796875" style="52"/>
  </cols>
  <sheetData>
    <row r="1" spans="1:21">
      <c r="A1" s="55" t="s">
        <v>75</v>
      </c>
      <c r="B1" s="81"/>
      <c r="C1" s="27" t="s">
        <v>57</v>
      </c>
      <c r="D1" s="81"/>
      <c r="E1" s="55" t="s">
        <v>76</v>
      </c>
      <c r="F1" s="55" t="s">
        <v>77</v>
      </c>
      <c r="G1" s="81"/>
      <c r="H1" s="27" t="s">
        <v>78</v>
      </c>
      <c r="I1" s="27" t="s">
        <v>37</v>
      </c>
      <c r="J1" s="27" t="s">
        <v>79</v>
      </c>
      <c r="K1" s="81"/>
      <c r="L1" s="27" t="s">
        <v>43</v>
      </c>
      <c r="M1" s="81"/>
      <c r="N1" s="27" t="s">
        <v>80</v>
      </c>
      <c r="O1" s="27" t="s">
        <v>81</v>
      </c>
      <c r="P1" s="81"/>
      <c r="Q1" s="58" t="s">
        <v>78</v>
      </c>
      <c r="R1" s="58" t="s">
        <v>37</v>
      </c>
      <c r="S1" s="59" t="s">
        <v>82</v>
      </c>
      <c r="T1" s="59" t="s">
        <v>83</v>
      </c>
      <c r="U1" s="58" t="s">
        <v>84</v>
      </c>
    </row>
    <row r="2" spans="1:21">
      <c r="A2" s="82" t="s">
        <v>85</v>
      </c>
      <c r="B2" s="81"/>
      <c r="C2" s="74" t="s">
        <v>86</v>
      </c>
      <c r="D2" s="81"/>
      <c r="E2" s="82" t="s">
        <v>85</v>
      </c>
      <c r="F2" s="82" t="s">
        <v>87</v>
      </c>
      <c r="G2" s="81"/>
      <c r="H2" s="82" t="s">
        <v>85</v>
      </c>
      <c r="I2" s="82"/>
      <c r="J2" s="82"/>
      <c r="K2" s="81"/>
      <c r="L2" s="74" t="s">
        <v>85</v>
      </c>
      <c r="M2" s="81"/>
      <c r="N2" s="74" t="s">
        <v>88</v>
      </c>
      <c r="O2" s="74" t="s">
        <v>89</v>
      </c>
      <c r="P2" s="81"/>
      <c r="Q2" s="74" t="s">
        <v>90</v>
      </c>
      <c r="R2" s="74" t="s">
        <v>91</v>
      </c>
      <c r="S2" s="83" t="s">
        <v>92</v>
      </c>
      <c r="T2" s="83" t="s">
        <v>93</v>
      </c>
      <c r="U2" s="74" t="s">
        <v>94</v>
      </c>
    </row>
    <row r="3" spans="1:21">
      <c r="A3" s="82" t="s">
        <v>17</v>
      </c>
      <c r="B3" s="81"/>
      <c r="C3" s="74" t="s">
        <v>58</v>
      </c>
      <c r="D3" s="81"/>
      <c r="E3" s="82" t="s">
        <v>91</v>
      </c>
      <c r="F3" s="54" t="s">
        <v>95</v>
      </c>
      <c r="G3" s="81"/>
      <c r="H3" s="74" t="s">
        <v>88</v>
      </c>
      <c r="I3" s="74" t="s">
        <v>96</v>
      </c>
      <c r="J3" s="74" t="s">
        <v>97</v>
      </c>
      <c r="K3" s="81"/>
      <c r="L3" s="74" t="s">
        <v>98</v>
      </c>
      <c r="M3" s="81"/>
      <c r="N3" s="74" t="s">
        <v>88</v>
      </c>
      <c r="O3" s="74" t="s">
        <v>99</v>
      </c>
      <c r="P3" s="81"/>
      <c r="Q3" s="74" t="s">
        <v>100</v>
      </c>
      <c r="R3" s="74" t="s">
        <v>91</v>
      </c>
      <c r="S3" s="83" t="s">
        <v>101</v>
      </c>
      <c r="T3" s="83" t="s">
        <v>102</v>
      </c>
      <c r="U3" s="74" t="s">
        <v>103</v>
      </c>
    </row>
    <row r="4" spans="1:21">
      <c r="A4" s="82" t="s">
        <v>104</v>
      </c>
      <c r="B4" s="81"/>
      <c r="C4" s="81"/>
      <c r="D4" s="81"/>
      <c r="E4" s="82" t="s">
        <v>105</v>
      </c>
      <c r="F4" s="54" t="s">
        <v>106</v>
      </c>
      <c r="G4" s="81"/>
      <c r="H4" s="74" t="s">
        <v>107</v>
      </c>
      <c r="I4" s="74" t="s">
        <v>108</v>
      </c>
      <c r="J4" s="74" t="s">
        <v>109</v>
      </c>
      <c r="K4" s="81"/>
      <c r="L4" s="74" t="s">
        <v>110</v>
      </c>
      <c r="M4" s="81"/>
      <c r="N4" s="74" t="s">
        <v>88</v>
      </c>
      <c r="O4" s="74" t="s">
        <v>111</v>
      </c>
      <c r="P4" s="81"/>
      <c r="Q4" s="74" t="s">
        <v>112</v>
      </c>
      <c r="R4" s="74" t="s">
        <v>91</v>
      </c>
      <c r="S4" s="83" t="s">
        <v>113</v>
      </c>
      <c r="T4" s="83" t="s">
        <v>114</v>
      </c>
      <c r="U4" s="74" t="s">
        <v>115</v>
      </c>
    </row>
    <row r="5" spans="1:21">
      <c r="A5" s="82" t="s">
        <v>116</v>
      </c>
      <c r="B5" s="81"/>
      <c r="C5" s="81"/>
      <c r="D5" s="81"/>
      <c r="E5" s="82" t="s">
        <v>108</v>
      </c>
      <c r="F5" s="54" t="s">
        <v>117</v>
      </c>
      <c r="G5" s="81"/>
      <c r="H5" s="74" t="s">
        <v>118</v>
      </c>
      <c r="I5" s="74" t="s">
        <v>96</v>
      </c>
      <c r="J5" s="74" t="s">
        <v>97</v>
      </c>
      <c r="K5" s="81"/>
      <c r="L5" s="74" t="s">
        <v>119</v>
      </c>
      <c r="M5" s="81"/>
      <c r="N5" s="74" t="s">
        <v>88</v>
      </c>
      <c r="O5" s="74" t="s">
        <v>120</v>
      </c>
      <c r="P5" s="81"/>
      <c r="Q5" s="74" t="s">
        <v>121</v>
      </c>
      <c r="R5" s="74" t="s">
        <v>91</v>
      </c>
      <c r="S5" s="83" t="s">
        <v>122</v>
      </c>
      <c r="T5" s="83" t="s">
        <v>91</v>
      </c>
      <c r="U5" s="74" t="s">
        <v>123</v>
      </c>
    </row>
    <row r="6" spans="1:21">
      <c r="A6" s="82" t="s">
        <v>124</v>
      </c>
      <c r="B6" s="81"/>
      <c r="C6" s="81"/>
      <c r="D6" s="81"/>
      <c r="E6" s="82" t="s">
        <v>39</v>
      </c>
      <c r="F6" s="54" t="s">
        <v>125</v>
      </c>
      <c r="G6" s="81"/>
      <c r="H6" s="74" t="s">
        <v>126</v>
      </c>
      <c r="I6" s="74" t="s">
        <v>108</v>
      </c>
      <c r="J6" s="74" t="s">
        <v>109</v>
      </c>
      <c r="K6" s="81"/>
      <c r="L6" s="74" t="s">
        <v>127</v>
      </c>
      <c r="M6" s="81"/>
      <c r="N6" s="74" t="s">
        <v>88</v>
      </c>
      <c r="O6" s="74" t="s">
        <v>128</v>
      </c>
      <c r="P6" s="81"/>
      <c r="Q6" s="74" t="s">
        <v>129</v>
      </c>
      <c r="R6" s="74" t="s">
        <v>105</v>
      </c>
      <c r="S6" s="83" t="s">
        <v>130</v>
      </c>
      <c r="T6" s="83" t="s">
        <v>131</v>
      </c>
      <c r="U6" s="74" t="s">
        <v>132</v>
      </c>
    </row>
    <row r="7" spans="1:21">
      <c r="A7" s="81"/>
      <c r="B7" s="81"/>
      <c r="C7" s="81"/>
      <c r="D7" s="81"/>
      <c r="E7" s="82" t="s">
        <v>119</v>
      </c>
      <c r="F7" s="54" t="s">
        <v>133</v>
      </c>
      <c r="G7" s="81"/>
      <c r="H7" s="74" t="s">
        <v>90</v>
      </c>
      <c r="I7" s="74" t="s">
        <v>91</v>
      </c>
      <c r="J7" s="74" t="s">
        <v>134</v>
      </c>
      <c r="K7" s="81"/>
      <c r="L7" s="74" t="s">
        <v>135</v>
      </c>
      <c r="M7" s="81"/>
      <c r="N7" s="74" t="s">
        <v>107</v>
      </c>
      <c r="O7" s="74" t="s">
        <v>136</v>
      </c>
      <c r="P7" s="81"/>
      <c r="Q7" s="74" t="s">
        <v>137</v>
      </c>
      <c r="R7" s="74" t="s">
        <v>105</v>
      </c>
      <c r="S7" s="83" t="s">
        <v>138</v>
      </c>
      <c r="T7" s="83" t="s">
        <v>139</v>
      </c>
      <c r="U7" s="74" t="s">
        <v>140</v>
      </c>
    </row>
    <row r="8" spans="1:21">
      <c r="A8" s="81"/>
      <c r="B8" s="81"/>
      <c r="C8" s="81"/>
      <c r="D8" s="81"/>
      <c r="E8" s="82" t="s">
        <v>96</v>
      </c>
      <c r="F8" s="54" t="s">
        <v>141</v>
      </c>
      <c r="G8" s="81"/>
      <c r="H8" s="74" t="s">
        <v>142</v>
      </c>
      <c r="I8" s="74" t="s">
        <v>96</v>
      </c>
      <c r="J8" s="74" t="s">
        <v>97</v>
      </c>
      <c r="K8" s="81"/>
      <c r="L8" s="74" t="s">
        <v>143</v>
      </c>
      <c r="M8" s="81"/>
      <c r="N8" s="74" t="s">
        <v>118</v>
      </c>
      <c r="O8" s="74" t="s">
        <v>144</v>
      </c>
      <c r="P8" s="81"/>
      <c r="Q8" s="74" t="s">
        <v>145</v>
      </c>
      <c r="R8" s="74" t="s">
        <v>108</v>
      </c>
      <c r="S8" s="83" t="s">
        <v>146</v>
      </c>
      <c r="T8" s="83" t="s">
        <v>147</v>
      </c>
      <c r="U8" s="74" t="s">
        <v>148</v>
      </c>
    </row>
    <row r="9" spans="1:21">
      <c r="A9" s="81"/>
      <c r="B9" s="81"/>
      <c r="C9" s="81"/>
      <c r="D9" s="81"/>
      <c r="E9" s="81"/>
      <c r="F9" s="81"/>
      <c r="G9" s="81"/>
      <c r="H9" s="74" t="s">
        <v>100</v>
      </c>
      <c r="I9" s="74" t="s">
        <v>91</v>
      </c>
      <c r="J9" s="74" t="s">
        <v>134</v>
      </c>
      <c r="K9" s="81"/>
      <c r="L9" s="74" t="s">
        <v>149</v>
      </c>
      <c r="M9" s="81"/>
      <c r="N9" s="74" t="s">
        <v>126</v>
      </c>
      <c r="O9" s="74" t="s">
        <v>150</v>
      </c>
      <c r="P9" s="81"/>
      <c r="Q9" s="74" t="s">
        <v>107</v>
      </c>
      <c r="R9" s="74" t="s">
        <v>108</v>
      </c>
      <c r="S9" s="83" t="s">
        <v>151</v>
      </c>
      <c r="T9" s="83" t="s">
        <v>152</v>
      </c>
      <c r="U9" s="74" t="s">
        <v>153</v>
      </c>
    </row>
    <row r="10" spans="1:21">
      <c r="A10" s="81"/>
      <c r="B10" s="81"/>
      <c r="C10" s="81"/>
      <c r="D10" s="81"/>
      <c r="E10" s="81"/>
      <c r="F10" s="81"/>
      <c r="G10" s="81"/>
      <c r="H10" s="74" t="s">
        <v>129</v>
      </c>
      <c r="I10" s="74" t="s">
        <v>105</v>
      </c>
      <c r="J10" s="74" t="s">
        <v>154</v>
      </c>
      <c r="K10" s="81"/>
      <c r="L10" s="74" t="s">
        <v>155</v>
      </c>
      <c r="M10" s="81"/>
      <c r="N10" s="74" t="s">
        <v>90</v>
      </c>
      <c r="O10" s="74" t="s">
        <v>156</v>
      </c>
      <c r="P10" s="81"/>
      <c r="Q10" s="74" t="s">
        <v>126</v>
      </c>
      <c r="R10" s="74" t="s">
        <v>108</v>
      </c>
      <c r="S10" s="83" t="s">
        <v>157</v>
      </c>
      <c r="T10" s="83" t="s">
        <v>158</v>
      </c>
      <c r="U10" s="74" t="s">
        <v>159</v>
      </c>
    </row>
    <row r="11" spans="1:21">
      <c r="A11" s="81"/>
      <c r="B11" s="81"/>
      <c r="C11" s="81"/>
      <c r="D11" s="81"/>
      <c r="E11" s="81"/>
      <c r="F11" s="81"/>
      <c r="G11" s="81"/>
      <c r="H11" s="74" t="s">
        <v>160</v>
      </c>
      <c r="I11" s="74" t="s">
        <v>108</v>
      </c>
      <c r="J11" s="74" t="s">
        <v>109</v>
      </c>
      <c r="K11" s="81"/>
      <c r="L11" s="74" t="s">
        <v>161</v>
      </c>
      <c r="M11" s="81"/>
      <c r="N11" s="74" t="s">
        <v>142</v>
      </c>
      <c r="O11" s="74" t="s">
        <v>162</v>
      </c>
      <c r="P11" s="81"/>
      <c r="Q11" s="74" t="s">
        <v>160</v>
      </c>
      <c r="R11" s="74" t="s">
        <v>108</v>
      </c>
      <c r="S11" s="83" t="s">
        <v>163</v>
      </c>
      <c r="T11" s="83" t="s">
        <v>164</v>
      </c>
      <c r="U11" s="74" t="s">
        <v>165</v>
      </c>
    </row>
    <row r="12" spans="1:21">
      <c r="A12" s="81"/>
      <c r="B12" s="81"/>
      <c r="C12" s="84"/>
      <c r="D12" s="81"/>
      <c r="E12" s="81"/>
      <c r="F12" s="81"/>
      <c r="G12" s="81"/>
      <c r="H12" s="74" t="s">
        <v>166</v>
      </c>
      <c r="I12" s="74" t="s">
        <v>108</v>
      </c>
      <c r="J12" s="74" t="s">
        <v>109</v>
      </c>
      <c r="K12" s="81"/>
      <c r="L12" s="74" t="s">
        <v>167</v>
      </c>
      <c r="M12" s="81"/>
      <c r="N12" s="74" t="s">
        <v>100</v>
      </c>
      <c r="O12" s="74" t="s">
        <v>168</v>
      </c>
      <c r="P12" s="81"/>
      <c r="Q12" s="74" t="s">
        <v>166</v>
      </c>
      <c r="R12" s="74" t="s">
        <v>108</v>
      </c>
      <c r="S12" s="83" t="s">
        <v>169</v>
      </c>
      <c r="T12" s="83" t="s">
        <v>170</v>
      </c>
      <c r="U12" s="74" t="s">
        <v>171</v>
      </c>
    </row>
    <row r="13" spans="1:21">
      <c r="A13" s="81"/>
      <c r="B13" s="81"/>
      <c r="C13" s="81"/>
      <c r="D13" s="81"/>
      <c r="E13" s="81"/>
      <c r="F13" s="81"/>
      <c r="G13" s="81"/>
      <c r="H13" s="74" t="s">
        <v>172</v>
      </c>
      <c r="I13" s="74" t="s">
        <v>108</v>
      </c>
      <c r="J13" s="74" t="s">
        <v>109</v>
      </c>
      <c r="K13" s="81"/>
      <c r="L13" s="74" t="s">
        <v>173</v>
      </c>
      <c r="M13" s="81"/>
      <c r="N13" s="74" t="s">
        <v>100</v>
      </c>
      <c r="O13" s="74" t="s">
        <v>174</v>
      </c>
      <c r="P13" s="81"/>
      <c r="Q13" s="74" t="s">
        <v>172</v>
      </c>
      <c r="R13" s="74" t="s">
        <v>108</v>
      </c>
      <c r="S13" s="83" t="s">
        <v>175</v>
      </c>
      <c r="T13" s="83" t="s">
        <v>176</v>
      </c>
      <c r="U13" s="74" t="s">
        <v>177</v>
      </c>
    </row>
    <row r="14" spans="1:21">
      <c r="A14" s="81"/>
      <c r="B14" s="81"/>
      <c r="C14" s="81"/>
      <c r="D14" s="81"/>
      <c r="E14" s="81"/>
      <c r="F14" s="81"/>
      <c r="G14" s="81"/>
      <c r="H14" s="74" t="s">
        <v>137</v>
      </c>
      <c r="I14" s="74" t="s">
        <v>105</v>
      </c>
      <c r="J14" s="74" t="s">
        <v>154</v>
      </c>
      <c r="K14" s="81"/>
      <c r="L14" s="74" t="s">
        <v>178</v>
      </c>
      <c r="M14" s="81"/>
      <c r="N14" s="74" t="s">
        <v>100</v>
      </c>
      <c r="O14" s="74" t="s">
        <v>179</v>
      </c>
      <c r="P14" s="81"/>
      <c r="Q14" s="74" t="s">
        <v>180</v>
      </c>
      <c r="R14" s="74" t="s">
        <v>108</v>
      </c>
      <c r="S14" s="83" t="s">
        <v>181</v>
      </c>
      <c r="T14" s="83" t="s">
        <v>182</v>
      </c>
      <c r="U14" s="74" t="s">
        <v>148</v>
      </c>
    </row>
    <row r="15" spans="1:21">
      <c r="A15" s="81"/>
      <c r="B15" s="81"/>
      <c r="C15" s="81"/>
      <c r="D15" s="81"/>
      <c r="E15" s="81"/>
      <c r="F15" s="81"/>
      <c r="G15" s="81"/>
      <c r="H15" s="74" t="s">
        <v>183</v>
      </c>
      <c r="I15" s="74" t="s">
        <v>96</v>
      </c>
      <c r="J15" s="74" t="s">
        <v>97</v>
      </c>
      <c r="K15" s="81"/>
      <c r="L15" s="74" t="s">
        <v>184</v>
      </c>
      <c r="M15" s="81"/>
      <c r="N15" s="74" t="s">
        <v>100</v>
      </c>
      <c r="O15" s="74" t="s">
        <v>185</v>
      </c>
      <c r="P15" s="81"/>
      <c r="Q15" s="74" t="s">
        <v>186</v>
      </c>
      <c r="R15" s="74" t="s">
        <v>108</v>
      </c>
      <c r="S15" s="83" t="s">
        <v>187</v>
      </c>
      <c r="T15" s="83" t="s">
        <v>188</v>
      </c>
      <c r="U15" s="74" t="s">
        <v>189</v>
      </c>
    </row>
    <row r="16" spans="1:21">
      <c r="A16" s="81"/>
      <c r="B16" s="81"/>
      <c r="C16" s="81"/>
      <c r="D16" s="81"/>
      <c r="E16" s="81"/>
      <c r="F16" s="81"/>
      <c r="G16" s="81"/>
      <c r="H16" s="74" t="s">
        <v>190</v>
      </c>
      <c r="I16" s="74" t="s">
        <v>96</v>
      </c>
      <c r="J16" s="74" t="s">
        <v>97</v>
      </c>
      <c r="K16" s="81"/>
      <c r="L16" s="74" t="s">
        <v>191</v>
      </c>
      <c r="M16" s="81"/>
      <c r="N16" s="74" t="s">
        <v>100</v>
      </c>
      <c r="O16" s="74" t="s">
        <v>192</v>
      </c>
      <c r="P16" s="81"/>
      <c r="Q16" s="74" t="s">
        <v>193</v>
      </c>
      <c r="R16" s="74" t="s">
        <v>108</v>
      </c>
      <c r="S16" s="83" t="s">
        <v>194</v>
      </c>
      <c r="T16" s="83" t="s">
        <v>195</v>
      </c>
      <c r="U16" s="74" t="s">
        <v>196</v>
      </c>
    </row>
    <row r="17" spans="8:21">
      <c r="H17" s="74" t="s">
        <v>186</v>
      </c>
      <c r="I17" s="74" t="s">
        <v>108</v>
      </c>
      <c r="J17" s="74" t="s">
        <v>109</v>
      </c>
      <c r="K17" s="81"/>
      <c r="L17" s="74" t="s">
        <v>197</v>
      </c>
      <c r="M17" s="81"/>
      <c r="N17" s="74" t="s">
        <v>100</v>
      </c>
      <c r="O17" s="74" t="s">
        <v>198</v>
      </c>
      <c r="P17" s="81"/>
      <c r="Q17" s="74" t="s">
        <v>199</v>
      </c>
      <c r="R17" s="74" t="s">
        <v>108</v>
      </c>
      <c r="S17" s="83" t="s">
        <v>200</v>
      </c>
      <c r="T17" s="83" t="s">
        <v>201</v>
      </c>
      <c r="U17" s="74" t="s">
        <v>202</v>
      </c>
    </row>
    <row r="18" spans="8:21">
      <c r="H18" s="74" t="s">
        <v>193</v>
      </c>
      <c r="I18" s="74" t="s">
        <v>108</v>
      </c>
      <c r="J18" s="74" t="s">
        <v>109</v>
      </c>
      <c r="K18" s="81"/>
      <c r="L18" s="74" t="s">
        <v>203</v>
      </c>
      <c r="M18" s="81"/>
      <c r="N18" s="74" t="s">
        <v>100</v>
      </c>
      <c r="O18" s="74" t="s">
        <v>204</v>
      </c>
      <c r="P18" s="81"/>
      <c r="Q18" s="74" t="s">
        <v>205</v>
      </c>
      <c r="R18" s="74" t="s">
        <v>108</v>
      </c>
      <c r="S18" s="83" t="s">
        <v>206</v>
      </c>
      <c r="T18" s="83" t="s">
        <v>207</v>
      </c>
      <c r="U18" s="74" t="s">
        <v>208</v>
      </c>
    </row>
    <row r="19" spans="8:21">
      <c r="H19" s="74" t="s">
        <v>42</v>
      </c>
      <c r="I19" s="74" t="s">
        <v>39</v>
      </c>
      <c r="J19" s="74" t="s">
        <v>209</v>
      </c>
      <c r="K19" s="81"/>
      <c r="L19" s="74" t="s">
        <v>210</v>
      </c>
      <c r="M19" s="81"/>
      <c r="N19" s="74" t="s">
        <v>100</v>
      </c>
      <c r="O19" s="74" t="s">
        <v>211</v>
      </c>
      <c r="P19" s="81"/>
      <c r="Q19" s="74" t="s">
        <v>212</v>
      </c>
      <c r="R19" s="74" t="s">
        <v>108</v>
      </c>
      <c r="S19" s="83" t="s">
        <v>213</v>
      </c>
      <c r="T19" s="83" t="s">
        <v>214</v>
      </c>
      <c r="U19" s="74" t="s">
        <v>215</v>
      </c>
    </row>
    <row r="20" spans="8:21">
      <c r="H20" s="74" t="s">
        <v>216</v>
      </c>
      <c r="I20" s="74" t="s">
        <v>119</v>
      </c>
      <c r="J20" s="74" t="s">
        <v>217</v>
      </c>
      <c r="K20" s="81"/>
      <c r="L20" s="74" t="s">
        <v>218</v>
      </c>
      <c r="M20" s="81"/>
      <c r="N20" s="74" t="s">
        <v>100</v>
      </c>
      <c r="O20" s="74" t="s">
        <v>219</v>
      </c>
      <c r="P20" s="81"/>
      <c r="Q20" s="74" t="s">
        <v>220</v>
      </c>
      <c r="R20" s="74" t="s">
        <v>108</v>
      </c>
      <c r="S20" s="83" t="s">
        <v>221</v>
      </c>
      <c r="T20" s="83" t="s">
        <v>222</v>
      </c>
      <c r="U20" s="74" t="s">
        <v>223</v>
      </c>
    </row>
    <row r="21" spans="8:21">
      <c r="H21" s="74" t="s">
        <v>224</v>
      </c>
      <c r="I21" s="74" t="s">
        <v>96</v>
      </c>
      <c r="J21" s="74" t="s">
        <v>97</v>
      </c>
      <c r="K21" s="81"/>
      <c r="L21" s="74" t="s">
        <v>225</v>
      </c>
      <c r="M21" s="81"/>
      <c r="N21" s="74" t="s">
        <v>100</v>
      </c>
      <c r="O21" s="74" t="s">
        <v>226</v>
      </c>
      <c r="P21" s="81"/>
      <c r="Q21" s="74" t="s">
        <v>227</v>
      </c>
      <c r="R21" s="74" t="s">
        <v>108</v>
      </c>
      <c r="S21" s="83" t="s">
        <v>228</v>
      </c>
      <c r="T21" s="83" t="s">
        <v>229</v>
      </c>
      <c r="U21" s="74" t="s">
        <v>230</v>
      </c>
    </row>
    <row r="22" spans="8:21">
      <c r="H22" s="74" t="s">
        <v>231</v>
      </c>
      <c r="I22" s="74" t="s">
        <v>96</v>
      </c>
      <c r="J22" s="74" t="s">
        <v>97</v>
      </c>
      <c r="K22" s="81"/>
      <c r="L22" s="74" t="s">
        <v>232</v>
      </c>
      <c r="M22" s="81"/>
      <c r="N22" s="74" t="s">
        <v>100</v>
      </c>
      <c r="O22" s="74" t="s">
        <v>233</v>
      </c>
      <c r="P22" s="81"/>
      <c r="Q22" s="74" t="s">
        <v>234</v>
      </c>
      <c r="R22" s="74" t="s">
        <v>108</v>
      </c>
      <c r="S22" s="83" t="s">
        <v>235</v>
      </c>
      <c r="T22" s="83" t="s">
        <v>236</v>
      </c>
      <c r="U22" s="74" t="s">
        <v>237</v>
      </c>
    </row>
    <row r="23" spans="8:21">
      <c r="H23" s="74" t="s">
        <v>112</v>
      </c>
      <c r="I23" s="74" t="s">
        <v>91</v>
      </c>
      <c r="J23" s="74" t="s">
        <v>134</v>
      </c>
      <c r="K23" s="81"/>
      <c r="L23" s="74" t="s">
        <v>238</v>
      </c>
      <c r="M23" s="81"/>
      <c r="N23" s="74" t="s">
        <v>100</v>
      </c>
      <c r="O23" s="74" t="s">
        <v>239</v>
      </c>
      <c r="P23" s="81"/>
      <c r="Q23" s="74" t="s">
        <v>240</v>
      </c>
      <c r="R23" s="74" t="s">
        <v>108</v>
      </c>
      <c r="S23" s="83" t="s">
        <v>241</v>
      </c>
      <c r="T23" s="83" t="s">
        <v>242</v>
      </c>
      <c r="U23" s="74" t="s">
        <v>243</v>
      </c>
    </row>
    <row r="24" spans="8:21">
      <c r="H24" s="74" t="s">
        <v>244</v>
      </c>
      <c r="I24" s="74" t="s">
        <v>96</v>
      </c>
      <c r="J24" s="74" t="s">
        <v>97</v>
      </c>
      <c r="K24" s="81"/>
      <c r="L24" s="74" t="s">
        <v>245</v>
      </c>
      <c r="M24" s="81"/>
      <c r="N24" s="74" t="s">
        <v>100</v>
      </c>
      <c r="O24" s="74" t="s">
        <v>246</v>
      </c>
      <c r="P24" s="81"/>
      <c r="Q24" s="74" t="s">
        <v>247</v>
      </c>
      <c r="R24" s="74" t="s">
        <v>108</v>
      </c>
      <c r="S24" s="83" t="s">
        <v>248</v>
      </c>
      <c r="T24" s="83" t="s">
        <v>249</v>
      </c>
      <c r="U24" s="74" t="s">
        <v>148</v>
      </c>
    </row>
    <row r="25" spans="8:21">
      <c r="H25" s="74" t="s">
        <v>199</v>
      </c>
      <c r="I25" s="74" t="s">
        <v>108</v>
      </c>
      <c r="J25" s="74" t="s">
        <v>109</v>
      </c>
      <c r="K25" s="81"/>
      <c r="L25" s="74" t="s">
        <v>250</v>
      </c>
      <c r="M25" s="81"/>
      <c r="N25" s="74" t="s">
        <v>100</v>
      </c>
      <c r="O25" s="74" t="s">
        <v>251</v>
      </c>
      <c r="P25" s="81"/>
      <c r="Q25" s="74" t="s">
        <v>252</v>
      </c>
      <c r="R25" s="74" t="s">
        <v>108</v>
      </c>
      <c r="S25" s="83" t="s">
        <v>253</v>
      </c>
      <c r="T25" s="83" t="s">
        <v>254</v>
      </c>
      <c r="U25" s="74" t="s">
        <v>255</v>
      </c>
    </row>
    <row r="26" spans="8:21">
      <c r="H26" s="74" t="s">
        <v>256</v>
      </c>
      <c r="I26" s="74" t="s">
        <v>96</v>
      </c>
      <c r="J26" s="74" t="s">
        <v>97</v>
      </c>
      <c r="K26" s="81"/>
      <c r="L26" s="74" t="s">
        <v>257</v>
      </c>
      <c r="M26" s="81"/>
      <c r="N26" s="74" t="s">
        <v>100</v>
      </c>
      <c r="O26" s="74" t="s">
        <v>258</v>
      </c>
      <c r="P26" s="81"/>
      <c r="Q26" s="74" t="s">
        <v>259</v>
      </c>
      <c r="R26" s="74" t="s">
        <v>108</v>
      </c>
      <c r="S26" s="83" t="s">
        <v>260</v>
      </c>
      <c r="T26" s="83" t="s">
        <v>261</v>
      </c>
      <c r="U26" s="74" t="s">
        <v>262</v>
      </c>
    </row>
    <row r="27" spans="8:21">
      <c r="H27" s="74" t="s">
        <v>205</v>
      </c>
      <c r="I27" s="74" t="s">
        <v>108</v>
      </c>
      <c r="J27" s="74" t="s">
        <v>109</v>
      </c>
      <c r="K27" s="81"/>
      <c r="L27" s="74" t="s">
        <v>263</v>
      </c>
      <c r="M27" s="81"/>
      <c r="N27" s="74" t="s">
        <v>100</v>
      </c>
      <c r="O27" s="74" t="s">
        <v>264</v>
      </c>
      <c r="P27" s="81"/>
      <c r="Q27" s="74" t="s">
        <v>42</v>
      </c>
      <c r="R27" s="74" t="s">
        <v>39</v>
      </c>
      <c r="S27" s="83" t="s">
        <v>45</v>
      </c>
      <c r="T27" s="83" t="s">
        <v>265</v>
      </c>
      <c r="U27" s="74" t="s">
        <v>266</v>
      </c>
    </row>
    <row r="28" spans="8:21">
      <c r="H28" s="74" t="s">
        <v>212</v>
      </c>
      <c r="I28" s="74" t="s">
        <v>108</v>
      </c>
      <c r="J28" s="74" t="s">
        <v>109</v>
      </c>
      <c r="K28" s="81"/>
      <c r="L28" s="74" t="s">
        <v>267</v>
      </c>
      <c r="M28" s="81"/>
      <c r="N28" s="74" t="s">
        <v>100</v>
      </c>
      <c r="O28" s="74" t="s">
        <v>268</v>
      </c>
      <c r="P28" s="81"/>
      <c r="Q28" s="74" t="s">
        <v>269</v>
      </c>
      <c r="R28" s="74" t="s">
        <v>96</v>
      </c>
      <c r="S28" s="83" t="s">
        <v>270</v>
      </c>
      <c r="T28" s="83" t="s">
        <v>271</v>
      </c>
      <c r="U28" s="74" t="s">
        <v>272</v>
      </c>
    </row>
    <row r="29" spans="8:21">
      <c r="H29" s="74" t="s">
        <v>220</v>
      </c>
      <c r="I29" s="74" t="s">
        <v>108</v>
      </c>
      <c r="J29" s="74" t="s">
        <v>109</v>
      </c>
      <c r="K29" s="81"/>
      <c r="L29" s="74" t="s">
        <v>273</v>
      </c>
      <c r="M29" s="81"/>
      <c r="N29" s="74" t="s">
        <v>100</v>
      </c>
      <c r="O29" s="74" t="s">
        <v>274</v>
      </c>
      <c r="P29" s="81"/>
      <c r="Q29" s="74" t="s">
        <v>275</v>
      </c>
      <c r="R29" s="74" t="s">
        <v>105</v>
      </c>
      <c r="S29" s="83" t="s">
        <v>276</v>
      </c>
      <c r="T29" s="83" t="s">
        <v>277</v>
      </c>
      <c r="U29" s="74" t="s">
        <v>278</v>
      </c>
    </row>
    <row r="30" spans="8:21">
      <c r="H30" s="74" t="s">
        <v>279</v>
      </c>
      <c r="I30" s="74" t="s">
        <v>96</v>
      </c>
      <c r="J30" s="74" t="s">
        <v>97</v>
      </c>
      <c r="K30" s="81"/>
      <c r="L30" s="74" t="s">
        <v>280</v>
      </c>
      <c r="M30" s="81"/>
      <c r="N30" s="74" t="s">
        <v>100</v>
      </c>
      <c r="O30" s="74" t="s">
        <v>281</v>
      </c>
      <c r="P30" s="81"/>
      <c r="Q30" s="74" t="s">
        <v>119</v>
      </c>
      <c r="R30" s="74" t="s">
        <v>119</v>
      </c>
      <c r="S30" s="83"/>
      <c r="T30" s="83"/>
      <c r="U30" s="74" t="s">
        <v>282</v>
      </c>
    </row>
    <row r="31" spans="8:21">
      <c r="H31" s="74" t="s">
        <v>227</v>
      </c>
      <c r="I31" s="74" t="s">
        <v>108</v>
      </c>
      <c r="J31" s="74" t="s">
        <v>109</v>
      </c>
      <c r="K31" s="81"/>
      <c r="L31" s="74" t="s">
        <v>283</v>
      </c>
      <c r="M31" s="81"/>
      <c r="N31" s="74" t="s">
        <v>100</v>
      </c>
      <c r="O31" s="74" t="s">
        <v>284</v>
      </c>
      <c r="P31" s="81"/>
      <c r="Q31" s="74" t="s">
        <v>88</v>
      </c>
      <c r="R31" s="74" t="s">
        <v>96</v>
      </c>
      <c r="S31" s="83" t="s">
        <v>280</v>
      </c>
      <c r="T31" s="83" t="s">
        <v>285</v>
      </c>
      <c r="U31" s="74" t="s">
        <v>286</v>
      </c>
    </row>
    <row r="32" spans="8:21">
      <c r="H32" s="74" t="s">
        <v>269</v>
      </c>
      <c r="I32" s="74" t="s">
        <v>96</v>
      </c>
      <c r="J32" s="74" t="s">
        <v>97</v>
      </c>
      <c r="K32" s="81"/>
      <c r="L32" s="74" t="s">
        <v>157</v>
      </c>
      <c r="M32" s="81"/>
      <c r="N32" s="74" t="s">
        <v>100</v>
      </c>
      <c r="O32" s="74" t="s">
        <v>287</v>
      </c>
      <c r="P32" s="81"/>
      <c r="Q32" s="74" t="s">
        <v>118</v>
      </c>
      <c r="R32" s="74" t="s">
        <v>96</v>
      </c>
      <c r="S32" s="83" t="s">
        <v>283</v>
      </c>
      <c r="T32" s="83" t="s">
        <v>288</v>
      </c>
      <c r="U32" s="74" t="s">
        <v>289</v>
      </c>
    </row>
    <row r="33" spans="8:21">
      <c r="H33" s="74" t="s">
        <v>290</v>
      </c>
      <c r="I33" s="74" t="s">
        <v>96</v>
      </c>
      <c r="J33" s="74" t="s">
        <v>97</v>
      </c>
      <c r="K33" s="81"/>
      <c r="L33" s="74" t="s">
        <v>151</v>
      </c>
      <c r="M33" s="81"/>
      <c r="N33" s="74" t="s">
        <v>129</v>
      </c>
      <c r="O33" s="74" t="s">
        <v>291</v>
      </c>
      <c r="P33" s="81"/>
      <c r="Q33" s="74" t="s">
        <v>142</v>
      </c>
      <c r="R33" s="74" t="s">
        <v>96</v>
      </c>
      <c r="S33" s="83" t="s">
        <v>292</v>
      </c>
      <c r="T33" s="83" t="s">
        <v>293</v>
      </c>
      <c r="U33" s="74" t="s">
        <v>294</v>
      </c>
    </row>
    <row r="34" spans="8:21">
      <c r="H34" s="74" t="s">
        <v>234</v>
      </c>
      <c r="I34" s="74" t="s">
        <v>108</v>
      </c>
      <c r="J34" s="74" t="s">
        <v>109</v>
      </c>
      <c r="K34" s="81"/>
      <c r="L34" s="74" t="s">
        <v>92</v>
      </c>
      <c r="M34" s="81"/>
      <c r="N34" s="74" t="s">
        <v>129</v>
      </c>
      <c r="O34" s="74" t="s">
        <v>295</v>
      </c>
      <c r="P34" s="81"/>
      <c r="Q34" s="74" t="s">
        <v>183</v>
      </c>
      <c r="R34" s="74" t="s">
        <v>96</v>
      </c>
      <c r="S34" s="83" t="s">
        <v>296</v>
      </c>
      <c r="T34" s="83" t="s">
        <v>297</v>
      </c>
      <c r="U34" s="74" t="s">
        <v>298</v>
      </c>
    </row>
    <row r="35" spans="8:21">
      <c r="H35" s="74" t="s">
        <v>240</v>
      </c>
      <c r="I35" s="74" t="s">
        <v>108</v>
      </c>
      <c r="J35" s="74" t="s">
        <v>109</v>
      </c>
      <c r="K35" s="81"/>
      <c r="L35" s="74" t="s">
        <v>101</v>
      </c>
      <c r="M35" s="81"/>
      <c r="N35" s="74" t="s">
        <v>129</v>
      </c>
      <c r="O35" s="74" t="s">
        <v>299</v>
      </c>
      <c r="P35" s="81"/>
      <c r="Q35" s="74" t="s">
        <v>190</v>
      </c>
      <c r="R35" s="74" t="s">
        <v>96</v>
      </c>
      <c r="S35" s="83" t="s">
        <v>300</v>
      </c>
      <c r="T35" s="83" t="s">
        <v>301</v>
      </c>
      <c r="U35" s="74" t="s">
        <v>302</v>
      </c>
    </row>
    <row r="36" spans="8:21">
      <c r="H36" s="74" t="s">
        <v>275</v>
      </c>
      <c r="I36" s="74" t="s">
        <v>105</v>
      </c>
      <c r="J36" s="74" t="s">
        <v>154</v>
      </c>
      <c r="K36" s="81"/>
      <c r="L36" s="74" t="s">
        <v>241</v>
      </c>
      <c r="M36" s="81"/>
      <c r="N36" s="74" t="s">
        <v>160</v>
      </c>
      <c r="O36" s="74" t="s">
        <v>303</v>
      </c>
      <c r="P36" s="81"/>
      <c r="Q36" s="74" t="s">
        <v>231</v>
      </c>
      <c r="R36" s="74" t="s">
        <v>96</v>
      </c>
      <c r="S36" s="83" t="s">
        <v>304</v>
      </c>
      <c r="T36" s="83" t="s">
        <v>305</v>
      </c>
      <c r="U36" s="74" t="s">
        <v>306</v>
      </c>
    </row>
    <row r="37" spans="8:21">
      <c r="H37" s="74" t="s">
        <v>307</v>
      </c>
      <c r="I37" s="74" t="s">
        <v>96</v>
      </c>
      <c r="J37" s="74" t="s">
        <v>97</v>
      </c>
      <c r="K37" s="81"/>
      <c r="L37" s="74" t="s">
        <v>130</v>
      </c>
      <c r="M37" s="81"/>
      <c r="N37" s="74" t="s">
        <v>166</v>
      </c>
      <c r="O37" s="74" t="s">
        <v>308</v>
      </c>
      <c r="P37" s="81"/>
      <c r="Q37" s="74" t="s">
        <v>244</v>
      </c>
      <c r="R37" s="74" t="s">
        <v>96</v>
      </c>
      <c r="S37" s="83" t="s">
        <v>309</v>
      </c>
      <c r="T37" s="83" t="s">
        <v>310</v>
      </c>
      <c r="U37" s="74" t="s">
        <v>311</v>
      </c>
    </row>
    <row r="38" spans="8:21">
      <c r="H38" s="74" t="s">
        <v>252</v>
      </c>
      <c r="I38" s="74" t="s">
        <v>108</v>
      </c>
      <c r="J38" s="74" t="s">
        <v>109</v>
      </c>
      <c r="K38" s="81"/>
      <c r="L38" s="74" t="s">
        <v>312</v>
      </c>
      <c r="M38" s="81"/>
      <c r="N38" s="74" t="s">
        <v>172</v>
      </c>
      <c r="O38" s="74" t="s">
        <v>313</v>
      </c>
      <c r="P38" s="81"/>
      <c r="Q38" s="74" t="s">
        <v>256</v>
      </c>
      <c r="R38" s="74" t="s">
        <v>96</v>
      </c>
      <c r="S38" s="83" t="s">
        <v>314</v>
      </c>
      <c r="T38" s="83" t="s">
        <v>315</v>
      </c>
      <c r="U38" s="74" t="s">
        <v>316</v>
      </c>
    </row>
    <row r="39" spans="8:21">
      <c r="H39" s="74" t="s">
        <v>259</v>
      </c>
      <c r="I39" s="74" t="s">
        <v>108</v>
      </c>
      <c r="J39" s="74" t="s">
        <v>109</v>
      </c>
      <c r="K39" s="81"/>
      <c r="L39" s="74" t="s">
        <v>317</v>
      </c>
      <c r="M39" s="81"/>
      <c r="N39" s="74" t="s">
        <v>137</v>
      </c>
      <c r="O39" s="74" t="s">
        <v>318</v>
      </c>
      <c r="P39" s="81"/>
      <c r="Q39" s="74" t="s">
        <v>279</v>
      </c>
      <c r="R39" s="74" t="s">
        <v>96</v>
      </c>
      <c r="S39" s="83" t="s">
        <v>319</v>
      </c>
      <c r="T39" s="83" t="s">
        <v>320</v>
      </c>
      <c r="U39" s="74" t="s">
        <v>321</v>
      </c>
    </row>
    <row r="40" spans="8:21">
      <c r="H40" s="74" t="s">
        <v>121</v>
      </c>
      <c r="I40" s="74" t="s">
        <v>91</v>
      </c>
      <c r="J40" s="74" t="s">
        <v>134</v>
      </c>
      <c r="K40" s="81"/>
      <c r="L40" s="74" t="s">
        <v>322</v>
      </c>
      <c r="M40" s="81"/>
      <c r="N40" s="74" t="s">
        <v>183</v>
      </c>
      <c r="O40" s="74" t="s">
        <v>323</v>
      </c>
      <c r="P40" s="81"/>
      <c r="Q40" s="74" t="s">
        <v>290</v>
      </c>
      <c r="R40" s="74" t="s">
        <v>96</v>
      </c>
      <c r="S40" s="83" t="s">
        <v>324</v>
      </c>
      <c r="T40" s="83" t="s">
        <v>325</v>
      </c>
      <c r="U40" s="74" t="s">
        <v>326</v>
      </c>
    </row>
    <row r="41" spans="8:21">
      <c r="H41" s="74" t="s">
        <v>327</v>
      </c>
      <c r="I41" s="74" t="s">
        <v>96</v>
      </c>
      <c r="J41" s="74" t="s">
        <v>97</v>
      </c>
      <c r="K41" s="81"/>
      <c r="L41" s="74" t="s">
        <v>163</v>
      </c>
      <c r="M41" s="81"/>
      <c r="N41" s="74" t="s">
        <v>183</v>
      </c>
      <c r="O41" s="74" t="s">
        <v>328</v>
      </c>
      <c r="P41" s="81"/>
      <c r="Q41" s="74" t="s">
        <v>307</v>
      </c>
      <c r="R41" s="74" t="s">
        <v>96</v>
      </c>
      <c r="S41" s="83" t="s">
        <v>329</v>
      </c>
      <c r="T41" s="83" t="s">
        <v>330</v>
      </c>
      <c r="U41" s="74" t="s">
        <v>331</v>
      </c>
    </row>
    <row r="42" spans="8:21">
      <c r="H42"/>
      <c r="I42"/>
      <c r="J42"/>
      <c r="K42" s="81"/>
      <c r="L42" s="74" t="s">
        <v>332</v>
      </c>
      <c r="M42" s="81"/>
      <c r="N42" s="74" t="s">
        <v>190</v>
      </c>
      <c r="O42" s="74" t="s">
        <v>333</v>
      </c>
      <c r="P42" s="81"/>
      <c r="Q42" s="74" t="s">
        <v>327</v>
      </c>
      <c r="R42" s="74" t="s">
        <v>96</v>
      </c>
      <c r="S42" s="83" t="s">
        <v>334</v>
      </c>
      <c r="T42" s="83" t="s">
        <v>335</v>
      </c>
      <c r="U42" s="74" t="s">
        <v>336</v>
      </c>
    </row>
    <row r="43" spans="8:21">
      <c r="H43"/>
      <c r="I43"/>
      <c r="J43"/>
      <c r="K43" s="81"/>
      <c r="L43" s="74" t="s">
        <v>175</v>
      </c>
      <c r="M43" s="81"/>
      <c r="N43" s="74" t="s">
        <v>186</v>
      </c>
      <c r="O43" s="74" t="s">
        <v>337</v>
      </c>
      <c r="P43" s="81"/>
      <c r="Q43" s="81"/>
      <c r="R43" s="81"/>
      <c r="S43" s="85"/>
      <c r="T43" s="85"/>
      <c r="U43" s="81"/>
    </row>
    <row r="44" spans="8:21">
      <c r="H44"/>
      <c r="I44"/>
      <c r="J44"/>
      <c r="K44" s="81"/>
      <c r="L44" s="74" t="s">
        <v>338</v>
      </c>
      <c r="M44" s="81"/>
      <c r="N44" s="74" t="s">
        <v>193</v>
      </c>
      <c r="O44" s="74" t="s">
        <v>339</v>
      </c>
      <c r="P44" s="81"/>
      <c r="Q44" s="81"/>
      <c r="R44" s="81"/>
      <c r="S44" s="85"/>
      <c r="T44" s="85"/>
      <c r="U44" s="81"/>
    </row>
    <row r="45" spans="8:21">
      <c r="H45"/>
      <c r="I45"/>
      <c r="J45"/>
      <c r="K45" s="81"/>
      <c r="L45" s="74" t="s">
        <v>169</v>
      </c>
      <c r="M45" s="81"/>
      <c r="N45" s="74" t="s">
        <v>42</v>
      </c>
      <c r="O45" s="74" t="s">
        <v>340</v>
      </c>
      <c r="P45" s="81"/>
      <c r="Q45" s="81"/>
      <c r="R45" s="81"/>
      <c r="S45" s="85"/>
      <c r="T45" s="85"/>
      <c r="U45" s="81"/>
    </row>
    <row r="46" spans="8:21">
      <c r="H46"/>
      <c r="I46"/>
      <c r="J46"/>
      <c r="K46" s="81"/>
      <c r="L46" s="74" t="s">
        <v>138</v>
      </c>
      <c r="M46" s="81"/>
      <c r="N46" s="74" t="s">
        <v>42</v>
      </c>
      <c r="O46" s="74" t="s">
        <v>341</v>
      </c>
      <c r="P46" s="81"/>
      <c r="Q46" s="81"/>
      <c r="R46" s="81"/>
      <c r="S46" s="85"/>
      <c r="T46" s="85"/>
      <c r="U46" s="81"/>
    </row>
    <row r="47" spans="8:21">
      <c r="H47"/>
      <c r="I47"/>
      <c r="J47"/>
      <c r="K47" s="81"/>
      <c r="L47" s="74" t="s">
        <v>300</v>
      </c>
      <c r="M47" s="81"/>
      <c r="N47" s="74" t="s">
        <v>42</v>
      </c>
      <c r="O47" s="74" t="s">
        <v>342</v>
      </c>
      <c r="P47" s="81"/>
      <c r="Q47" s="81"/>
      <c r="R47" s="81"/>
      <c r="S47" s="85"/>
      <c r="T47" s="85"/>
      <c r="U47" s="81"/>
    </row>
    <row r="48" spans="8:21">
      <c r="H48"/>
      <c r="I48"/>
      <c r="J48"/>
      <c r="K48" s="81"/>
      <c r="L48" s="74" t="s">
        <v>187</v>
      </c>
      <c r="M48" s="81"/>
      <c r="N48" s="74" t="s">
        <v>42</v>
      </c>
      <c r="O48" s="74" t="s">
        <v>343</v>
      </c>
      <c r="P48" s="81"/>
      <c r="Q48" s="81"/>
      <c r="R48" s="81"/>
      <c r="S48" s="85"/>
      <c r="T48" s="85"/>
      <c r="U48" s="81"/>
    </row>
    <row r="49" spans="8:15">
      <c r="H49"/>
      <c r="I49"/>
      <c r="J49"/>
      <c r="K49" s="81"/>
      <c r="L49" s="74" t="s">
        <v>296</v>
      </c>
      <c r="M49" s="81"/>
      <c r="N49" s="74" t="s">
        <v>119</v>
      </c>
      <c r="O49" s="74" t="s">
        <v>344</v>
      </c>
    </row>
    <row r="50" spans="8:15">
      <c r="H50"/>
      <c r="I50"/>
      <c r="J50"/>
      <c r="K50" s="81"/>
      <c r="L50" s="74" t="s">
        <v>194</v>
      </c>
      <c r="M50" s="81"/>
      <c r="N50" s="74" t="s">
        <v>119</v>
      </c>
      <c r="O50" s="74" t="s">
        <v>345</v>
      </c>
    </row>
    <row r="51" spans="8:15">
      <c r="H51"/>
      <c r="I51"/>
      <c r="J51"/>
      <c r="K51" s="81"/>
      <c r="L51" s="74" t="s">
        <v>45</v>
      </c>
      <c r="M51" s="81"/>
      <c r="N51" s="74" t="s">
        <v>119</v>
      </c>
      <c r="O51" s="74" t="s">
        <v>346</v>
      </c>
    </row>
    <row r="52" spans="8:15">
      <c r="H52"/>
      <c r="I52"/>
      <c r="J52"/>
      <c r="K52" s="81"/>
      <c r="L52" s="74" t="s">
        <v>292</v>
      </c>
      <c r="M52" s="81"/>
      <c r="N52" s="74" t="s">
        <v>119</v>
      </c>
      <c r="O52" s="74" t="s">
        <v>347</v>
      </c>
    </row>
    <row r="53" spans="8:15">
      <c r="H53"/>
      <c r="I53"/>
      <c r="J53"/>
      <c r="K53" s="81"/>
      <c r="L53" s="74" t="s">
        <v>270</v>
      </c>
      <c r="M53" s="81"/>
      <c r="N53" s="74" t="s">
        <v>119</v>
      </c>
      <c r="O53" s="74" t="s">
        <v>348</v>
      </c>
    </row>
    <row r="54" spans="8:15">
      <c r="H54"/>
      <c r="I54"/>
      <c r="J54"/>
      <c r="K54" s="81"/>
      <c r="L54" s="74" t="s">
        <v>324</v>
      </c>
      <c r="M54" s="81"/>
      <c r="N54" s="74" t="s">
        <v>224</v>
      </c>
      <c r="O54" s="74" t="s">
        <v>349</v>
      </c>
    </row>
    <row r="55" spans="8:15">
      <c r="H55"/>
      <c r="I55"/>
      <c r="J55"/>
      <c r="K55" s="81"/>
      <c r="L55" s="74" t="s">
        <v>309</v>
      </c>
      <c r="M55" s="81"/>
      <c r="N55" s="74" t="s">
        <v>231</v>
      </c>
      <c r="O55" s="74" t="s">
        <v>350</v>
      </c>
    </row>
    <row r="56" spans="8:15">
      <c r="H56"/>
      <c r="I56"/>
      <c r="J56"/>
      <c r="K56" s="81"/>
      <c r="L56" s="74" t="s">
        <v>113</v>
      </c>
      <c r="M56" s="81"/>
      <c r="N56" s="74" t="s">
        <v>112</v>
      </c>
      <c r="O56" s="74" t="s">
        <v>351</v>
      </c>
    </row>
    <row r="57" spans="8:15">
      <c r="H57"/>
      <c r="I57"/>
      <c r="J57"/>
      <c r="K57" s="81"/>
      <c r="L57" s="74" t="s">
        <v>304</v>
      </c>
      <c r="M57" s="81"/>
      <c r="N57" s="74" t="s">
        <v>112</v>
      </c>
      <c r="O57" s="74" t="s">
        <v>352</v>
      </c>
    </row>
    <row r="58" spans="8:15">
      <c r="H58"/>
      <c r="I58"/>
      <c r="J58"/>
      <c r="K58" s="81"/>
      <c r="L58" s="74" t="s">
        <v>200</v>
      </c>
      <c r="M58" s="81"/>
      <c r="N58" s="74" t="s">
        <v>112</v>
      </c>
      <c r="O58" s="74" t="s">
        <v>353</v>
      </c>
    </row>
    <row r="59" spans="8:15">
      <c r="H59"/>
      <c r="I59"/>
      <c r="J59"/>
      <c r="K59" s="81"/>
      <c r="L59" s="74" t="s">
        <v>314</v>
      </c>
      <c r="M59" s="81"/>
      <c r="N59" s="74" t="s">
        <v>112</v>
      </c>
      <c r="O59" s="74" t="s">
        <v>354</v>
      </c>
    </row>
    <row r="60" spans="8:15">
      <c r="H60"/>
      <c r="I60"/>
      <c r="J60"/>
      <c r="K60" s="81"/>
      <c r="L60" s="74" t="s">
        <v>206</v>
      </c>
      <c r="M60" s="81"/>
      <c r="N60" s="74" t="s">
        <v>112</v>
      </c>
      <c r="O60" s="74" t="s">
        <v>355</v>
      </c>
    </row>
    <row r="61" spans="8:15">
      <c r="H61"/>
      <c r="I61"/>
      <c r="J61"/>
      <c r="K61" s="81"/>
      <c r="L61" s="74" t="s">
        <v>213</v>
      </c>
      <c r="M61" s="81"/>
      <c r="N61" s="74" t="s">
        <v>112</v>
      </c>
      <c r="O61" s="74" t="s">
        <v>356</v>
      </c>
    </row>
    <row r="62" spans="8:15">
      <c r="H62"/>
      <c r="I62"/>
      <c r="J62"/>
      <c r="K62" s="81"/>
      <c r="L62" s="74" t="s">
        <v>221</v>
      </c>
      <c r="M62" s="81"/>
      <c r="N62" s="74" t="s">
        <v>112</v>
      </c>
      <c r="O62" s="74" t="s">
        <v>357</v>
      </c>
    </row>
    <row r="63" spans="8:15">
      <c r="H63"/>
      <c r="I63"/>
      <c r="J63"/>
      <c r="K63" s="81"/>
      <c r="L63" s="74" t="s">
        <v>235</v>
      </c>
      <c r="M63" s="81"/>
      <c r="N63" s="74" t="s">
        <v>112</v>
      </c>
      <c r="O63" s="74" t="s">
        <v>358</v>
      </c>
    </row>
    <row r="64" spans="8:15">
      <c r="H64"/>
      <c r="I64"/>
      <c r="J64"/>
      <c r="K64" s="81"/>
      <c r="L64" s="74" t="s">
        <v>319</v>
      </c>
      <c r="M64" s="81"/>
      <c r="N64" s="74" t="s">
        <v>112</v>
      </c>
      <c r="O64" s="74" t="s">
        <v>359</v>
      </c>
    </row>
    <row r="65" spans="8:15">
      <c r="H65"/>
      <c r="I65"/>
      <c r="J65"/>
      <c r="K65" s="81"/>
      <c r="L65" s="74" t="s">
        <v>329</v>
      </c>
      <c r="M65" s="81"/>
      <c r="N65" s="74" t="s">
        <v>112</v>
      </c>
      <c r="O65" s="74" t="s">
        <v>360</v>
      </c>
    </row>
    <row r="66" spans="8:15">
      <c r="H66"/>
      <c r="I66"/>
      <c r="J66"/>
      <c r="K66" s="81"/>
      <c r="L66" s="74" t="s">
        <v>276</v>
      </c>
      <c r="M66" s="81"/>
      <c r="N66" s="74" t="s">
        <v>244</v>
      </c>
      <c r="O66" s="74" t="s">
        <v>361</v>
      </c>
    </row>
    <row r="67" spans="8:15">
      <c r="H67"/>
      <c r="I67"/>
      <c r="J67"/>
      <c r="K67" s="81"/>
      <c r="L67" s="74" t="s">
        <v>362</v>
      </c>
      <c r="M67" s="81"/>
      <c r="N67" s="74" t="s">
        <v>199</v>
      </c>
      <c r="O67" s="74" t="s">
        <v>363</v>
      </c>
    </row>
    <row r="68" spans="8:15">
      <c r="H68"/>
      <c r="I68"/>
      <c r="J68"/>
      <c r="K68" s="81"/>
      <c r="L68" s="74" t="s">
        <v>260</v>
      </c>
      <c r="M68" s="81"/>
      <c r="N68" s="74" t="s">
        <v>364</v>
      </c>
      <c r="O68" s="74" t="s">
        <v>365</v>
      </c>
    </row>
    <row r="69" spans="8:15">
      <c r="H69"/>
      <c r="I69"/>
      <c r="J69"/>
      <c r="K69" s="81"/>
      <c r="L69" s="74" t="s">
        <v>366</v>
      </c>
      <c r="M69" s="81"/>
      <c r="N69" s="74" t="s">
        <v>364</v>
      </c>
      <c r="O69" s="74" t="s">
        <v>367</v>
      </c>
    </row>
    <row r="70" spans="8:15">
      <c r="H70"/>
      <c r="I70"/>
      <c r="J70"/>
      <c r="K70" s="81"/>
      <c r="L70" s="74" t="s">
        <v>334</v>
      </c>
      <c r="M70" s="81"/>
      <c r="N70" s="74" t="s">
        <v>205</v>
      </c>
      <c r="O70" s="74" t="s">
        <v>368</v>
      </c>
    </row>
    <row r="71" spans="8:15">
      <c r="H71"/>
      <c r="I71"/>
      <c r="J71"/>
      <c r="K71" s="81"/>
      <c r="L71" s="74" t="s">
        <v>228</v>
      </c>
      <c r="M71" s="81"/>
      <c r="N71" s="74" t="s">
        <v>212</v>
      </c>
      <c r="O71" s="74" t="s">
        <v>369</v>
      </c>
    </row>
    <row r="72" spans="8:15">
      <c r="H72"/>
      <c r="I72"/>
      <c r="J72"/>
      <c r="K72" s="81"/>
      <c r="L72" s="81"/>
      <c r="M72" s="81"/>
      <c r="N72" s="74" t="s">
        <v>279</v>
      </c>
      <c r="O72" s="74" t="s">
        <v>370</v>
      </c>
    </row>
    <row r="73" spans="8:15">
      <c r="H73"/>
      <c r="I73"/>
      <c r="J73"/>
      <c r="K73" s="81"/>
      <c r="L73" s="81"/>
      <c r="M73" s="81"/>
      <c r="N73" s="74" t="s">
        <v>220</v>
      </c>
      <c r="O73" s="74" t="s">
        <v>371</v>
      </c>
    </row>
    <row r="74" spans="8:15">
      <c r="H74"/>
      <c r="I74"/>
      <c r="J74"/>
      <c r="K74" s="81"/>
      <c r="L74" s="81"/>
      <c r="M74" s="81"/>
      <c r="N74" s="74" t="s">
        <v>227</v>
      </c>
      <c r="O74" s="74" t="s">
        <v>372</v>
      </c>
    </row>
    <row r="75" spans="8:15">
      <c r="H75"/>
      <c r="I75"/>
      <c r="J75"/>
      <c r="K75" s="81"/>
      <c r="L75" s="81"/>
      <c r="M75" s="81"/>
      <c r="N75" s="74" t="s">
        <v>227</v>
      </c>
      <c r="O75" s="74" t="s">
        <v>373</v>
      </c>
    </row>
    <row r="76" spans="8:15">
      <c r="H76"/>
      <c r="I76"/>
      <c r="J76"/>
      <c r="K76" s="81"/>
      <c r="L76" s="81"/>
      <c r="M76" s="81"/>
      <c r="N76" s="74" t="s">
        <v>227</v>
      </c>
      <c r="O76" s="74" t="s">
        <v>374</v>
      </c>
    </row>
    <row r="77" spans="8:15">
      <c r="H77"/>
      <c r="I77"/>
      <c r="J77"/>
      <c r="K77" s="81"/>
      <c r="L77" s="81"/>
      <c r="M77" s="81"/>
      <c r="N77" s="74" t="s">
        <v>227</v>
      </c>
      <c r="O77" s="74" t="s">
        <v>375</v>
      </c>
    </row>
    <row r="78" spans="8:15">
      <c r="H78"/>
      <c r="I78"/>
      <c r="J78"/>
      <c r="K78" s="81"/>
      <c r="L78" s="81"/>
      <c r="M78" s="81"/>
      <c r="N78" s="74" t="s">
        <v>227</v>
      </c>
      <c r="O78" s="74" t="s">
        <v>376</v>
      </c>
    </row>
    <row r="79" spans="8:15">
      <c r="H79"/>
      <c r="I79"/>
      <c r="J79"/>
      <c r="K79" s="81"/>
      <c r="L79" s="81"/>
      <c r="M79" s="81"/>
      <c r="N79" s="74" t="s">
        <v>269</v>
      </c>
      <c r="O79" s="74" t="s">
        <v>377</v>
      </c>
    </row>
    <row r="80" spans="8:15">
      <c r="H80"/>
      <c r="I80"/>
      <c r="J80"/>
      <c r="K80" s="81"/>
      <c r="L80" s="81"/>
      <c r="M80" s="81"/>
      <c r="N80" s="74" t="s">
        <v>290</v>
      </c>
      <c r="O80" s="74" t="s">
        <v>378</v>
      </c>
    </row>
    <row r="81" spans="8:15">
      <c r="H81"/>
      <c r="I81"/>
      <c r="J81"/>
      <c r="K81" s="81"/>
      <c r="L81" s="81"/>
      <c r="M81" s="81"/>
      <c r="N81" s="74" t="s">
        <v>234</v>
      </c>
      <c r="O81" s="74" t="s">
        <v>379</v>
      </c>
    </row>
    <row r="82" spans="8:15">
      <c r="H82"/>
      <c r="I82"/>
      <c r="J82"/>
      <c r="K82" s="81"/>
      <c r="L82" s="81"/>
      <c r="M82" s="81"/>
      <c r="N82" s="74" t="s">
        <v>240</v>
      </c>
      <c r="O82" s="74" t="s">
        <v>380</v>
      </c>
    </row>
    <row r="83" spans="8:15">
      <c r="H83"/>
      <c r="I83"/>
      <c r="J83"/>
      <c r="K83" s="81"/>
      <c r="L83" s="81"/>
      <c r="M83" s="81"/>
      <c r="N83" s="74" t="s">
        <v>275</v>
      </c>
      <c r="O83" s="74" t="s">
        <v>381</v>
      </c>
    </row>
    <row r="84" spans="8:15">
      <c r="H84"/>
      <c r="I84"/>
      <c r="J84"/>
      <c r="K84" s="81"/>
      <c r="L84" s="81"/>
      <c r="M84" s="81"/>
      <c r="N84" s="74" t="s">
        <v>307</v>
      </c>
      <c r="O84" s="74" t="s">
        <v>382</v>
      </c>
    </row>
    <row r="85" spans="8:15">
      <c r="H85"/>
      <c r="I85"/>
      <c r="J85"/>
      <c r="K85" s="81"/>
      <c r="L85" s="81"/>
      <c r="M85" s="81"/>
      <c r="N85" s="74" t="s">
        <v>252</v>
      </c>
      <c r="O85" s="74" t="s">
        <v>383</v>
      </c>
    </row>
    <row r="86" spans="8:15">
      <c r="H86"/>
      <c r="I86"/>
      <c r="J86"/>
      <c r="K86" s="81"/>
      <c r="L86" s="81"/>
      <c r="M86" s="81"/>
      <c r="N86" s="74" t="s">
        <v>259</v>
      </c>
      <c r="O86" s="74" t="s">
        <v>384</v>
      </c>
    </row>
    <row r="87" spans="8:15">
      <c r="H87"/>
      <c r="I87"/>
      <c r="J87"/>
      <c r="K87" s="81"/>
      <c r="L87" s="81"/>
      <c r="M87" s="81"/>
      <c r="N87" s="74" t="s">
        <v>259</v>
      </c>
      <c r="O87" s="74" t="s">
        <v>385</v>
      </c>
    </row>
    <row r="88" spans="8:15">
      <c r="H88"/>
      <c r="I88"/>
      <c r="J88"/>
      <c r="K88" s="81"/>
      <c r="L88" s="81"/>
      <c r="M88" s="81"/>
      <c r="N88" s="74" t="s">
        <v>121</v>
      </c>
      <c r="O88" s="74" t="s">
        <v>386</v>
      </c>
    </row>
    <row r="89" spans="8:15">
      <c r="H89"/>
      <c r="I89"/>
      <c r="J89"/>
      <c r="K89" s="81"/>
      <c r="L89" s="81"/>
      <c r="M89" s="81"/>
      <c r="N89" s="74" t="s">
        <v>121</v>
      </c>
      <c r="O89" s="74" t="s">
        <v>387</v>
      </c>
    </row>
    <row r="90" spans="8:15">
      <c r="H90"/>
      <c r="I90"/>
      <c r="J90"/>
      <c r="K90" s="81"/>
      <c r="L90" s="81"/>
      <c r="M90" s="81"/>
      <c r="N90" s="74" t="s">
        <v>121</v>
      </c>
      <c r="O90" s="74" t="s">
        <v>388</v>
      </c>
    </row>
    <row r="91" spans="8:15">
      <c r="H91"/>
      <c r="I91"/>
      <c r="J91"/>
      <c r="K91" s="81"/>
      <c r="L91" s="81"/>
      <c r="M91" s="81"/>
      <c r="N91" s="74" t="s">
        <v>121</v>
      </c>
      <c r="O91" s="74" t="s">
        <v>389</v>
      </c>
    </row>
    <row r="92" spans="8:15">
      <c r="H92"/>
      <c r="I92"/>
      <c r="J92"/>
      <c r="K92" s="81"/>
      <c r="L92" s="81"/>
      <c r="M92" s="81"/>
      <c r="N92" s="74" t="s">
        <v>121</v>
      </c>
      <c r="O92" s="74" t="s">
        <v>390</v>
      </c>
    </row>
    <row r="93" spans="8:15">
      <c r="H93"/>
      <c r="I93"/>
      <c r="J93"/>
      <c r="K93" s="81"/>
      <c r="L93" s="81"/>
      <c r="M93" s="81"/>
      <c r="N93" s="74" t="s">
        <v>121</v>
      </c>
      <c r="O93" s="74" t="s">
        <v>391</v>
      </c>
    </row>
    <row r="94" spans="8:15">
      <c r="H94"/>
      <c r="I94"/>
      <c r="J94"/>
      <c r="K94" s="81"/>
      <c r="L94" s="81"/>
      <c r="M94" s="81"/>
      <c r="N94" s="74" t="s">
        <v>121</v>
      </c>
      <c r="O94" s="74" t="s">
        <v>392</v>
      </c>
    </row>
    <row r="95" spans="8:15">
      <c r="H95"/>
      <c r="I95"/>
      <c r="J95"/>
      <c r="K95" s="81"/>
      <c r="L95" s="81"/>
      <c r="M95" s="81"/>
      <c r="N95" s="74" t="s">
        <v>121</v>
      </c>
      <c r="O95" s="74" t="s">
        <v>393</v>
      </c>
    </row>
    <row r="96" spans="8:15">
      <c r="H96"/>
      <c r="I96"/>
      <c r="J96"/>
      <c r="K96" s="81"/>
      <c r="L96" s="81"/>
      <c r="M96" s="81"/>
      <c r="N96" s="74" t="s">
        <v>121</v>
      </c>
      <c r="O96" s="74" t="s">
        <v>394</v>
      </c>
    </row>
    <row r="97" spans="8:15">
      <c r="H97"/>
      <c r="I97"/>
      <c r="J97"/>
      <c r="K97" s="81"/>
      <c r="L97" s="81"/>
      <c r="M97" s="81"/>
      <c r="N97" s="74" t="s">
        <v>121</v>
      </c>
      <c r="O97" s="74" t="s">
        <v>395</v>
      </c>
    </row>
    <row r="98" spans="8:15">
      <c r="H98"/>
      <c r="I98"/>
      <c r="J98"/>
      <c r="K98" s="81"/>
      <c r="L98" s="81"/>
      <c r="M98" s="81"/>
      <c r="N98" s="74" t="s">
        <v>121</v>
      </c>
      <c r="O98" s="74" t="s">
        <v>396</v>
      </c>
    </row>
    <row r="99" spans="8:15">
      <c r="H99"/>
      <c r="I99"/>
      <c r="J99"/>
      <c r="K99" s="81"/>
      <c r="L99" s="81"/>
      <c r="M99" s="81"/>
      <c r="N99" s="74" t="s">
        <v>121</v>
      </c>
      <c r="O99" s="74" t="s">
        <v>397</v>
      </c>
    </row>
    <row r="100" spans="8:15">
      <c r="H100"/>
      <c r="I100"/>
      <c r="J100"/>
      <c r="K100" s="81"/>
      <c r="L100" s="81"/>
      <c r="M100" s="81"/>
      <c r="N100" s="74" t="s">
        <v>121</v>
      </c>
      <c r="O100" s="74" t="s">
        <v>398</v>
      </c>
    </row>
    <row r="101" spans="8:15">
      <c r="H101"/>
      <c r="I101"/>
      <c r="J101"/>
      <c r="K101" s="81"/>
      <c r="L101" s="81"/>
      <c r="M101" s="81"/>
      <c r="N101" s="74" t="s">
        <v>121</v>
      </c>
      <c r="O101" s="74" t="s">
        <v>399</v>
      </c>
    </row>
    <row r="102" spans="8:15">
      <c r="H102"/>
      <c r="I102"/>
      <c r="J102"/>
      <c r="K102" s="81"/>
      <c r="L102" s="81"/>
      <c r="M102" s="81"/>
      <c r="N102" s="74" t="s">
        <v>121</v>
      </c>
      <c r="O102" s="74" t="s">
        <v>400</v>
      </c>
    </row>
    <row r="103" spans="8:15">
      <c r="H103"/>
      <c r="I103"/>
      <c r="J103"/>
      <c r="K103" s="81"/>
      <c r="L103" s="81"/>
      <c r="M103" s="81"/>
      <c r="N103" s="74" t="s">
        <v>121</v>
      </c>
      <c r="O103" s="74" t="s">
        <v>401</v>
      </c>
    </row>
    <row r="104" spans="8:15">
      <c r="H104"/>
      <c r="I104"/>
      <c r="J104"/>
      <c r="K104" s="81"/>
      <c r="L104" s="81"/>
      <c r="M104" s="81"/>
      <c r="N104" s="74" t="s">
        <v>121</v>
      </c>
      <c r="O104" s="74" t="s">
        <v>402</v>
      </c>
    </row>
    <row r="105" spans="8:15">
      <c r="H105"/>
      <c r="I105"/>
      <c r="J105"/>
      <c r="K105" s="81"/>
      <c r="L105" s="81"/>
      <c r="M105" s="81"/>
      <c r="N105" s="74" t="s">
        <v>121</v>
      </c>
      <c r="O105" s="74" t="s">
        <v>403</v>
      </c>
    </row>
    <row r="106" spans="8:15">
      <c r="H106"/>
      <c r="I106"/>
      <c r="J106"/>
      <c r="K106" s="81"/>
      <c r="L106" s="81"/>
      <c r="M106" s="81"/>
      <c r="N106" s="74" t="s">
        <v>121</v>
      </c>
      <c r="O106" s="74" t="s">
        <v>404</v>
      </c>
    </row>
    <row r="107" spans="8:15">
      <c r="H107"/>
      <c r="I107"/>
      <c r="J107"/>
      <c r="K107" s="81"/>
      <c r="L107" s="81"/>
      <c r="M107" s="81"/>
      <c r="N107" s="74" t="s">
        <v>121</v>
      </c>
      <c r="O107" s="74" t="s">
        <v>405</v>
      </c>
    </row>
    <row r="108" spans="8:15">
      <c r="H108"/>
      <c r="I108"/>
      <c r="J108"/>
      <c r="K108" s="81"/>
      <c r="L108" s="81"/>
      <c r="M108" s="81"/>
      <c r="N108" s="74" t="s">
        <v>121</v>
      </c>
      <c r="O108" s="74" t="s">
        <v>406</v>
      </c>
    </row>
    <row r="109" spans="8:15">
      <c r="H109"/>
      <c r="I109"/>
      <c r="J109"/>
      <c r="K109" s="81"/>
      <c r="L109" s="81"/>
      <c r="M109" s="81"/>
      <c r="N109" s="74" t="s">
        <v>121</v>
      </c>
      <c r="O109" s="74" t="s">
        <v>407</v>
      </c>
    </row>
    <row r="110" spans="8:15">
      <c r="H110"/>
      <c r="I110"/>
      <c r="J110"/>
      <c r="K110" s="81"/>
      <c r="L110" s="81"/>
      <c r="M110" s="81"/>
      <c r="N110" s="74" t="s">
        <v>121</v>
      </c>
      <c r="O110" s="74" t="s">
        <v>408</v>
      </c>
    </row>
    <row r="111" spans="8:15">
      <c r="H111"/>
      <c r="I111"/>
      <c r="J111"/>
      <c r="K111" s="81"/>
      <c r="L111" s="81"/>
      <c r="M111" s="81"/>
      <c r="N111" s="74" t="s">
        <v>121</v>
      </c>
      <c r="O111" s="74" t="s">
        <v>409</v>
      </c>
    </row>
    <row r="112" spans="8:15">
      <c r="H112"/>
      <c r="I112"/>
      <c r="J112"/>
      <c r="K112" s="81"/>
      <c r="L112" s="81"/>
      <c r="M112" s="81"/>
      <c r="N112" s="74" t="s">
        <v>121</v>
      </c>
      <c r="O112" s="74" t="s">
        <v>410</v>
      </c>
    </row>
    <row r="113" spans="8:15">
      <c r="H113"/>
      <c r="I113"/>
      <c r="J113"/>
      <c r="K113" s="81"/>
      <c r="L113" s="81"/>
      <c r="M113" s="81"/>
      <c r="N113" s="74" t="s">
        <v>121</v>
      </c>
      <c r="O113" s="74" t="s">
        <v>411</v>
      </c>
    </row>
    <row r="114" spans="8:15">
      <c r="H114"/>
      <c r="I114"/>
      <c r="J114"/>
      <c r="K114" s="81"/>
      <c r="L114" s="81"/>
      <c r="M114" s="81"/>
      <c r="N114" s="74" t="s">
        <v>121</v>
      </c>
      <c r="O114" s="74" t="s">
        <v>412</v>
      </c>
    </row>
    <row r="115" spans="8:15">
      <c r="H115"/>
      <c r="I115"/>
      <c r="J115"/>
      <c r="K115" s="81"/>
      <c r="L115" s="81"/>
      <c r="M115" s="81"/>
      <c r="N115" s="74" t="s">
        <v>121</v>
      </c>
      <c r="O115" s="74" t="s">
        <v>413</v>
      </c>
    </row>
    <row r="116" spans="8:15">
      <c r="H116"/>
      <c r="I116"/>
      <c r="J116"/>
      <c r="K116" s="81"/>
      <c r="L116" s="81"/>
      <c r="M116" s="81"/>
      <c r="N116" s="74" t="s">
        <v>121</v>
      </c>
      <c r="O116" s="74" t="s">
        <v>414</v>
      </c>
    </row>
    <row r="117" spans="8:15">
      <c r="H117"/>
      <c r="I117"/>
      <c r="J117"/>
      <c r="K117" s="81"/>
      <c r="L117" s="81"/>
      <c r="M117" s="81"/>
      <c r="N117" s="74" t="s">
        <v>121</v>
      </c>
      <c r="O117" s="74" t="s">
        <v>415</v>
      </c>
    </row>
    <row r="118" spans="8:15">
      <c r="H118"/>
      <c r="I118"/>
      <c r="J118"/>
      <c r="K118" s="81"/>
      <c r="L118" s="81"/>
      <c r="M118" s="81"/>
      <c r="N118" s="74" t="s">
        <v>121</v>
      </c>
      <c r="O118" s="74" t="s">
        <v>416</v>
      </c>
    </row>
    <row r="119" spans="8:15">
      <c r="H119"/>
      <c r="I119"/>
      <c r="J119"/>
      <c r="K119" s="81"/>
      <c r="L119" s="81"/>
      <c r="M119" s="81"/>
      <c r="N119" s="74" t="s">
        <v>121</v>
      </c>
      <c r="O119" s="74" t="s">
        <v>417</v>
      </c>
    </row>
    <row r="120" spans="8:15">
      <c r="H120"/>
      <c r="I120"/>
      <c r="J120"/>
      <c r="K120" s="81"/>
      <c r="L120" s="81"/>
      <c r="M120" s="81"/>
      <c r="N120" s="74" t="s">
        <v>121</v>
      </c>
      <c r="O120" s="74" t="s">
        <v>418</v>
      </c>
    </row>
    <row r="121" spans="8:15">
      <c r="H121"/>
      <c r="I121"/>
      <c r="J121"/>
      <c r="K121" s="81"/>
      <c r="L121" s="81"/>
      <c r="M121" s="81"/>
      <c r="N121" s="74" t="s">
        <v>121</v>
      </c>
      <c r="O121" s="74" t="s">
        <v>419</v>
      </c>
    </row>
    <row r="122" spans="8:15">
      <c r="H122"/>
      <c r="I122"/>
      <c r="J122"/>
      <c r="K122" s="81"/>
      <c r="L122" s="81"/>
      <c r="M122" s="81"/>
      <c r="N122" s="74" t="s">
        <v>121</v>
      </c>
      <c r="O122" s="74" t="s">
        <v>420</v>
      </c>
    </row>
    <row r="123" spans="8:15">
      <c r="H123"/>
      <c r="I123"/>
      <c r="J123"/>
      <c r="K123" s="81"/>
      <c r="L123" s="81"/>
      <c r="M123" s="81"/>
      <c r="N123" s="74" t="s">
        <v>121</v>
      </c>
      <c r="O123" s="74" t="s">
        <v>421</v>
      </c>
    </row>
    <row r="124" spans="8:15">
      <c r="H124"/>
      <c r="I124"/>
      <c r="J124"/>
      <c r="K124" s="81"/>
      <c r="L124" s="81"/>
      <c r="M124" s="81"/>
      <c r="N124" s="74" t="s">
        <v>121</v>
      </c>
      <c r="O124" s="74" t="s">
        <v>422</v>
      </c>
    </row>
    <row r="125" spans="8:15">
      <c r="H125"/>
      <c r="I125"/>
      <c r="J125"/>
      <c r="K125" s="81"/>
      <c r="L125" s="81"/>
      <c r="M125" s="81"/>
      <c r="N125" s="74" t="s">
        <v>121</v>
      </c>
      <c r="O125" s="74" t="s">
        <v>423</v>
      </c>
    </row>
    <row r="126" spans="8:15">
      <c r="H126"/>
      <c r="I126"/>
      <c r="J126"/>
      <c r="K126" s="81"/>
      <c r="L126" s="81"/>
      <c r="M126" s="81"/>
      <c r="N126" s="74" t="s">
        <v>121</v>
      </c>
      <c r="O126" s="74" t="s">
        <v>424</v>
      </c>
    </row>
    <row r="127" spans="8:15">
      <c r="H127"/>
      <c r="I127"/>
      <c r="J127"/>
      <c r="K127" s="81"/>
      <c r="L127" s="81"/>
      <c r="M127" s="81"/>
      <c r="N127" s="74" t="s">
        <v>121</v>
      </c>
      <c r="O127" s="74" t="s">
        <v>425</v>
      </c>
    </row>
    <row r="128" spans="8:15">
      <c r="H128"/>
      <c r="I128"/>
      <c r="J128"/>
      <c r="K128" s="81"/>
      <c r="L128" s="81"/>
      <c r="M128" s="81"/>
      <c r="N128" s="74" t="s">
        <v>121</v>
      </c>
      <c r="O128" s="74" t="s">
        <v>426</v>
      </c>
    </row>
    <row r="129" spans="8:15">
      <c r="H129"/>
      <c r="I129"/>
      <c r="J129"/>
      <c r="K129" s="81"/>
      <c r="L129" s="81"/>
      <c r="M129" s="81"/>
      <c r="N129" s="74" t="s">
        <v>121</v>
      </c>
      <c r="O129" s="74" t="s">
        <v>427</v>
      </c>
    </row>
    <row r="130" spans="8:15">
      <c r="H130"/>
      <c r="I130"/>
      <c r="J130"/>
      <c r="K130" s="81"/>
      <c r="L130" s="81"/>
      <c r="M130" s="81"/>
      <c r="N130" s="74" t="s">
        <v>121</v>
      </c>
      <c r="O130" s="74" t="s">
        <v>428</v>
      </c>
    </row>
    <row r="131" spans="8:15">
      <c r="H131"/>
      <c r="I131"/>
      <c r="J131"/>
      <c r="K131" s="81"/>
      <c r="L131" s="81"/>
      <c r="M131" s="81"/>
      <c r="N131" s="74" t="s">
        <v>121</v>
      </c>
      <c r="O131" s="74" t="s">
        <v>429</v>
      </c>
    </row>
    <row r="132" spans="8:15">
      <c r="H132"/>
      <c r="I132"/>
      <c r="J132"/>
      <c r="K132" s="81"/>
      <c r="L132" s="81"/>
      <c r="M132" s="81"/>
      <c r="N132" s="74" t="s">
        <v>121</v>
      </c>
      <c r="O132" s="74" t="s">
        <v>430</v>
      </c>
    </row>
    <row r="133" spans="8:15">
      <c r="H133"/>
      <c r="I133"/>
      <c r="J133"/>
      <c r="K133" s="81"/>
      <c r="L133" s="81"/>
      <c r="M133" s="81"/>
      <c r="N133" s="74" t="s">
        <v>121</v>
      </c>
      <c r="O133" s="74" t="s">
        <v>431</v>
      </c>
    </row>
    <row r="134" spans="8:15">
      <c r="H134"/>
      <c r="I134"/>
      <c r="J134"/>
      <c r="K134" s="81"/>
      <c r="L134" s="81"/>
      <c r="M134" s="81"/>
      <c r="N134" s="74" t="s">
        <v>121</v>
      </c>
      <c r="O134" s="74" t="s">
        <v>432</v>
      </c>
    </row>
    <row r="135" spans="8:15">
      <c r="H135"/>
      <c r="I135"/>
      <c r="J135"/>
      <c r="K135" s="81"/>
      <c r="L135" s="81"/>
      <c r="M135" s="81"/>
      <c r="N135" s="74" t="s">
        <v>121</v>
      </c>
      <c r="O135" s="74" t="s">
        <v>433</v>
      </c>
    </row>
    <row r="136" spans="8:15">
      <c r="H136"/>
      <c r="I136"/>
      <c r="J136"/>
      <c r="K136" s="81"/>
      <c r="L136" s="81"/>
      <c r="M136" s="81"/>
      <c r="N136" s="74" t="s">
        <v>121</v>
      </c>
      <c r="O136" s="74" t="s">
        <v>434</v>
      </c>
    </row>
    <row r="137" spans="8:15">
      <c r="H137"/>
      <c r="I137"/>
      <c r="J137"/>
      <c r="K137" s="81"/>
      <c r="L137" s="81"/>
      <c r="M137" s="81"/>
      <c r="N137" s="74" t="s">
        <v>121</v>
      </c>
      <c r="O137" s="74" t="s">
        <v>435</v>
      </c>
    </row>
    <row r="138" spans="8:15">
      <c r="H138"/>
      <c r="I138"/>
      <c r="J138"/>
      <c r="K138" s="81"/>
      <c r="L138" s="81"/>
      <c r="M138" s="81"/>
      <c r="N138" s="74" t="s">
        <v>121</v>
      </c>
      <c r="O138" s="74" t="s">
        <v>436</v>
      </c>
    </row>
    <row r="139" spans="8:15">
      <c r="H139"/>
      <c r="I139"/>
      <c r="J139"/>
      <c r="K139" s="81"/>
      <c r="L139" s="81"/>
      <c r="M139" s="81"/>
      <c r="N139" s="74" t="s">
        <v>121</v>
      </c>
      <c r="O139" s="74" t="s">
        <v>437</v>
      </c>
    </row>
    <row r="140" spans="8:15">
      <c r="H140"/>
      <c r="I140"/>
      <c r="J140"/>
      <c r="K140" s="81"/>
      <c r="L140" s="81"/>
      <c r="M140" s="81"/>
      <c r="N140" s="74" t="s">
        <v>121</v>
      </c>
      <c r="O140" s="74" t="s">
        <v>438</v>
      </c>
    </row>
    <row r="141" spans="8:15">
      <c r="H141"/>
      <c r="I141"/>
      <c r="J141"/>
      <c r="K141" s="81"/>
      <c r="L141" s="81"/>
      <c r="M141" s="81"/>
      <c r="N141" s="74" t="s">
        <v>121</v>
      </c>
      <c r="O141" s="74" t="s">
        <v>439</v>
      </c>
    </row>
    <row r="142" spans="8:15">
      <c r="H142"/>
      <c r="I142"/>
      <c r="J142"/>
      <c r="K142" s="81"/>
      <c r="L142" s="81"/>
      <c r="M142" s="81"/>
      <c r="N142" s="74" t="s">
        <v>121</v>
      </c>
      <c r="O142" s="74" t="s">
        <v>440</v>
      </c>
    </row>
    <row r="143" spans="8:15">
      <c r="H143"/>
      <c r="I143"/>
      <c r="J143"/>
      <c r="K143" s="81"/>
      <c r="L143" s="81"/>
      <c r="M143" s="81"/>
      <c r="N143" s="74" t="s">
        <v>327</v>
      </c>
      <c r="O143" s="74" t="s">
        <v>441</v>
      </c>
    </row>
    <row r="144" spans="8:15">
      <c r="H144"/>
      <c r="I144"/>
      <c r="J144"/>
      <c r="K144" s="81"/>
      <c r="L144" s="81"/>
      <c r="M144" s="81"/>
      <c r="N144" s="74" t="s">
        <v>327</v>
      </c>
      <c r="O144" s="74" t="s">
        <v>442</v>
      </c>
    </row>
    <row r="145" spans="14:15">
      <c r="N145" s="74" t="s">
        <v>327</v>
      </c>
      <c r="O145" s="74" t="s">
        <v>443</v>
      </c>
    </row>
  </sheetData>
  <sortState xmlns:xlrd2="http://schemas.microsoft.com/office/spreadsheetml/2017/richdata2" ref="H2:I41">
    <sortCondition ref="H2:H41"/>
  </sortState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B2:E20"/>
  <sheetViews>
    <sheetView showGridLines="0" workbookViewId="0">
      <selection activeCell="B1" sqref="B1"/>
    </sheetView>
  </sheetViews>
  <sheetFormatPr defaultColWidth="8.54296875" defaultRowHeight="14.5"/>
  <cols>
    <col min="1" max="1" width="3.453125" style="1" customWidth="1"/>
    <col min="2" max="2" width="7.81640625" style="1" bestFit="1" customWidth="1"/>
    <col min="3" max="3" width="18.54296875" style="65" bestFit="1" customWidth="1"/>
    <col min="4" max="4" width="65" style="1" customWidth="1"/>
    <col min="5" max="5" width="42.54296875" style="1" customWidth="1"/>
    <col min="6" max="16384" width="8.54296875" style="1"/>
  </cols>
  <sheetData>
    <row r="2" spans="2:5">
      <c r="B2" s="68" t="s">
        <v>444</v>
      </c>
      <c r="C2" s="69" t="s">
        <v>445</v>
      </c>
      <c r="D2" s="68" t="s">
        <v>446</v>
      </c>
      <c r="E2" s="68" t="s">
        <v>447</v>
      </c>
    </row>
    <row r="3" spans="2:5">
      <c r="B3" s="86">
        <v>1</v>
      </c>
      <c r="C3" s="87">
        <v>44817</v>
      </c>
      <c r="D3" s="66" t="s">
        <v>448</v>
      </c>
      <c r="E3" s="66" t="s">
        <v>449</v>
      </c>
    </row>
    <row r="4" spans="2:5">
      <c r="B4" s="86">
        <v>2</v>
      </c>
      <c r="C4" s="87">
        <v>44859</v>
      </c>
      <c r="D4" s="66" t="s">
        <v>450</v>
      </c>
      <c r="E4" s="66" t="s">
        <v>451</v>
      </c>
    </row>
    <row r="5" spans="2:5" ht="29">
      <c r="B5" s="86">
        <v>3</v>
      </c>
      <c r="C5" s="87">
        <v>44859</v>
      </c>
      <c r="D5" s="67" t="s">
        <v>452</v>
      </c>
      <c r="E5" s="66" t="s">
        <v>453</v>
      </c>
    </row>
    <row r="6" spans="2:5" ht="43.5">
      <c r="B6" s="64">
        <v>4</v>
      </c>
      <c r="C6" s="87">
        <v>44859</v>
      </c>
      <c r="D6" s="67" t="s">
        <v>454</v>
      </c>
      <c r="E6" s="66" t="s">
        <v>455</v>
      </c>
    </row>
    <row r="7" spans="2:5" ht="43.5">
      <c r="B7" s="64">
        <v>6</v>
      </c>
      <c r="C7" s="87">
        <v>44860</v>
      </c>
      <c r="D7" s="67" t="s">
        <v>456</v>
      </c>
      <c r="E7" s="66" t="s">
        <v>451</v>
      </c>
    </row>
    <row r="8" spans="2:5" ht="29">
      <c r="B8" s="64">
        <v>7</v>
      </c>
      <c r="C8" s="87">
        <v>44861</v>
      </c>
      <c r="D8" s="67" t="s">
        <v>457</v>
      </c>
      <c r="E8" s="66" t="s">
        <v>451</v>
      </c>
    </row>
    <row r="9" spans="2:5">
      <c r="B9" s="64">
        <v>8</v>
      </c>
      <c r="C9" s="87">
        <v>44861</v>
      </c>
      <c r="D9" s="66" t="s">
        <v>458</v>
      </c>
      <c r="E9" s="66" t="s">
        <v>455</v>
      </c>
    </row>
    <row r="10" spans="2:5">
      <c r="B10" s="64">
        <v>9</v>
      </c>
      <c r="C10" s="87">
        <v>44879</v>
      </c>
      <c r="D10" s="66" t="s">
        <v>458</v>
      </c>
      <c r="E10" s="66" t="s">
        <v>455</v>
      </c>
    </row>
    <row r="11" spans="2:5" ht="43.5">
      <c r="B11" s="64" t="s">
        <v>459</v>
      </c>
      <c r="C11" s="87">
        <v>45298</v>
      </c>
      <c r="D11" s="67" t="s">
        <v>460</v>
      </c>
      <c r="E11" s="66" t="s">
        <v>455</v>
      </c>
    </row>
    <row r="12" spans="2:5">
      <c r="B12" s="64" t="s">
        <v>459</v>
      </c>
      <c r="C12" s="87">
        <v>45302</v>
      </c>
      <c r="D12" s="66" t="s">
        <v>461</v>
      </c>
      <c r="E12" s="66" t="s">
        <v>455</v>
      </c>
    </row>
    <row r="13" spans="2:5">
      <c r="B13" s="64"/>
      <c r="C13" s="87"/>
      <c r="D13" s="66"/>
      <c r="E13" s="66"/>
    </row>
    <row r="14" spans="2:5">
      <c r="B14" s="64"/>
      <c r="C14" s="87"/>
      <c r="D14" s="66"/>
      <c r="E14" s="66"/>
    </row>
    <row r="15" spans="2:5">
      <c r="B15" s="64"/>
      <c r="C15" s="87"/>
      <c r="D15" s="66"/>
      <c r="E15" s="66"/>
    </row>
    <row r="16" spans="2:5">
      <c r="B16" s="64"/>
      <c r="C16" s="87"/>
      <c r="D16" s="66"/>
      <c r="E16" s="66"/>
    </row>
    <row r="17" spans="2:5">
      <c r="B17" s="64"/>
      <c r="C17" s="87"/>
      <c r="D17" s="66"/>
      <c r="E17" s="66"/>
    </row>
    <row r="18" spans="2:5">
      <c r="B18" s="64"/>
      <c r="C18" s="87"/>
      <c r="D18" s="66"/>
      <c r="E18" s="66"/>
    </row>
    <row r="19" spans="2:5">
      <c r="B19" s="64"/>
      <c r="C19" s="87"/>
      <c r="D19" s="66"/>
      <c r="E19" s="66"/>
    </row>
    <row r="20" spans="2:5">
      <c r="B20" s="64"/>
      <c r="C20" s="87"/>
      <c r="D20" s="66"/>
      <c r="E20" s="66"/>
    </row>
  </sheetData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7496D00955A264F9308A26647D50B3B" ma:contentTypeVersion="14" ma:contentTypeDescription="新しいドキュメントを作成します。" ma:contentTypeScope="" ma:versionID="4178f746d7a04e868d460162c04c68f6">
  <xsd:schema xmlns:xsd="http://www.w3.org/2001/XMLSchema" xmlns:xs="http://www.w3.org/2001/XMLSchema" xmlns:p="http://schemas.microsoft.com/office/2006/metadata/properties" xmlns:ns2="4322538f-6b63-4eb4-aa37-79c3ae370e19" xmlns:ns3="0deded44-aa1e-4f54-93a2-5df90c4bc97a" targetNamespace="http://schemas.microsoft.com/office/2006/metadata/properties" ma:root="true" ma:fieldsID="ae1bc801295710963691790e92859a44" ns2:_="" ns3:_="">
    <xsd:import namespace="4322538f-6b63-4eb4-aa37-79c3ae370e19"/>
    <xsd:import namespace="0deded44-aa1e-4f54-93a2-5df90c4bc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2538f-6b63-4eb4-aa37-79c3ae370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227cf17-155d-45e8-83a9-0ad97b7ca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ded44-aa1e-4f54-93a2-5df90c4bc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2e27925-e96d-49a9-88a9-48fdac0177d9}" ma:internalName="TaxCatchAll" ma:showField="CatchAllData" ma:web="0deded44-aa1e-4f54-93a2-5df90c4bc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eded44-aa1e-4f54-93a2-5df90c4bc97a" xsi:nil="true"/>
    <lcf76f155ced4ddcb4097134ff3c332f xmlns="4322538f-6b63-4eb4-aa37-79c3ae370e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DE30CD-82A5-4229-B41E-796EAD73A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22538f-6b63-4eb4-aa37-79c3ae370e19"/>
    <ds:schemaRef ds:uri="0deded44-aa1e-4f54-93a2-5df90c4bc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17749F-CD66-4EDF-80D8-882D258D21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2E792B-379B-4ADE-B272-11AD8C11BF27}">
  <ds:schemaRefs>
    <ds:schemaRef ds:uri="http://schemas.microsoft.com/office/2006/metadata/properties"/>
    <ds:schemaRef ds:uri="http://schemas.microsoft.com/office/infopath/2007/PartnerControls"/>
    <ds:schemaRef ds:uri="0b539c24-35fb-4c8d-b85e-8381bdee3d33"/>
    <ds:schemaRef ds:uri="00522c76-5e19-4783-8450-e8fabbf58015"/>
    <ds:schemaRef ds:uri="0deded44-aa1e-4f54-93a2-5df90c4bc97a"/>
    <ds:schemaRef ds:uri="4322538f-6b63-4eb4-aa37-79c3ae370e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Account Request</vt:lpstr>
      <vt:lpstr>xref</vt:lpstr>
      <vt:lpstr>Revisions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Kashiwagi Osamu (FCJ.CSG)</dc:creator>
  <cp:keywords/>
  <dc:description/>
  <cp:lastModifiedBy>Regina Maye Banadera</cp:lastModifiedBy>
  <cp:revision/>
  <dcterms:created xsi:type="dcterms:W3CDTF">2022-08-17T06:47:12Z</dcterms:created>
  <dcterms:modified xsi:type="dcterms:W3CDTF">2026-07-23T02:34:40Z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0x0101006106420551EA744AA0EE9CEE51EAAEBB</vt:lpwstr>
  </property>
  <property fmtid="{D5CDD505-2E9C-101B-9397-08002B2CF9AE}" pid="3" name="MSIP_Label_4637e5cc-ed1f-4ad6-a881-35c0f1c6f3d8_Enabled">
    <vt:lpwstr>true</vt:lpwstr>
  </property>
  <property fmtid="{D5CDD505-2E9C-101B-9397-08002B2CF9AE}" pid="4" name="MSIP_Label_4637e5cc-ed1f-4ad6-a881-35c0f1c6f3d8_SetDate">
    <vt:lpwstr>2022-10-25T12:11:48Z</vt:lpwstr>
  </property>
  <property fmtid="{D5CDD505-2E9C-101B-9397-08002B2CF9AE}" pid="5" name="MSIP_Label_4637e5cc-ed1f-4ad6-a881-35c0f1c6f3d8_Method">
    <vt:lpwstr>Standard</vt:lpwstr>
  </property>
  <property fmtid="{D5CDD505-2E9C-101B-9397-08002B2CF9AE}" pid="6" name="MSIP_Label_4637e5cc-ed1f-4ad6-a881-35c0f1c6f3d8_Name">
    <vt:lpwstr>General</vt:lpwstr>
  </property>
  <property fmtid="{D5CDD505-2E9C-101B-9397-08002B2CF9AE}" pid="7" name="MSIP_Label_4637e5cc-ed1f-4ad6-a881-35c0f1c6f3d8_SiteId">
    <vt:lpwstr>e3cf3c98-a978-465f-8254-9d541eeea73c</vt:lpwstr>
  </property>
  <property fmtid="{D5CDD505-2E9C-101B-9397-08002B2CF9AE}" pid="8" name="MSIP_Label_4637e5cc-ed1f-4ad6-a881-35c0f1c6f3d8_ActionId">
    <vt:lpwstr>284fb478-474d-4a73-b254-552e1b0d5ba2</vt:lpwstr>
  </property>
  <property fmtid="{D5CDD505-2E9C-101B-9397-08002B2CF9AE}" pid="9" name="MSIP_Label_4637e5cc-ed1f-4ad6-a881-35c0f1c6f3d8_ContentBits">
    <vt:lpwstr>0</vt:lpwstr>
  </property>
  <property fmtid="{D5CDD505-2E9C-101B-9397-08002B2CF9AE}" pid="10" name="MediaServiceImageTags">
    <vt:lpwstr/>
  </property>
</Properties>
</file>